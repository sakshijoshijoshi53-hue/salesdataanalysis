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16" windowHeight="4404"/>
  </bookViews>
  <sheets>
    <sheet name="Sheet1" sheetId="1" r:id="rId1"/>
    <sheet name="Sheet2" sheetId="3" r:id="rId2"/>
    <sheet name="pivot table" sheetId="2" r:id="rId3"/>
  </sheets>
  <calcPr calcId="152511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1" l="1"/>
  <c r="M10" i="1"/>
  <c r="M11" i="1"/>
  <c r="M12" i="1"/>
  <c r="L9" i="1"/>
  <c r="L10" i="1"/>
  <c r="L11" i="1"/>
  <c r="L12" i="1"/>
  <c r="K9" i="1"/>
  <c r="K10" i="1"/>
  <c r="K11" i="1"/>
  <c r="K12" i="1"/>
  <c r="K8" i="1"/>
  <c r="L8" i="1"/>
  <c r="M8" i="1"/>
  <c r="J9" i="1"/>
  <c r="J10" i="1"/>
  <c r="J11" i="1"/>
  <c r="J12" i="1"/>
  <c r="J8" i="1"/>
</calcChain>
</file>

<file path=xl/sharedStrings.xml><?xml version="1.0" encoding="utf-8"?>
<sst xmlns="http://schemas.openxmlformats.org/spreadsheetml/2006/main" count="1239" uniqueCount="38">
  <si>
    <t>Date</t>
  </si>
  <si>
    <t>Region</t>
  </si>
  <si>
    <t>Product</t>
  </si>
  <si>
    <t>Salesperson</t>
  </si>
  <si>
    <t>Quantity</t>
  </si>
  <si>
    <t>Sales Amount</t>
  </si>
  <si>
    <t>North</t>
  </si>
  <si>
    <t>Laptop</t>
  </si>
  <si>
    <t>Amit</t>
  </si>
  <si>
    <t>South</t>
  </si>
  <si>
    <t>Rahul</t>
  </si>
  <si>
    <t>Tablet</t>
  </si>
  <si>
    <t>Smartwatch</t>
  </si>
  <si>
    <t>Neha</t>
  </si>
  <si>
    <t>Mobile</t>
  </si>
  <si>
    <t>East</t>
  </si>
  <si>
    <t>Headphones</t>
  </si>
  <si>
    <t>Karan</t>
  </si>
  <si>
    <t>Sneha</t>
  </si>
  <si>
    <t>Pooja</t>
  </si>
  <si>
    <t>West</t>
  </si>
  <si>
    <t>Vikas</t>
  </si>
  <si>
    <t>ITEM/REGION</t>
  </si>
  <si>
    <t>NORTH</t>
  </si>
  <si>
    <t>SOUTH</t>
  </si>
  <si>
    <t>EAST</t>
  </si>
  <si>
    <t>WEST</t>
  </si>
  <si>
    <t>LAPTOP</t>
  </si>
  <si>
    <t>TABLET</t>
  </si>
  <si>
    <t>SMARTWATCH</t>
  </si>
  <si>
    <t>MOBILE</t>
  </si>
  <si>
    <t>HEADPHONES</t>
  </si>
  <si>
    <t>Row Labels</t>
  </si>
  <si>
    <t>(blank)</t>
  </si>
  <si>
    <t>Grand Total</t>
  </si>
  <si>
    <t>Column Labels</t>
  </si>
  <si>
    <t>Sum of Sales Amount</t>
  </si>
  <si>
    <t>pivort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</si>
</sst>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156848"/>
        <c:axId val="2117157936"/>
      </c:barChart>
      <c:catAx>
        <c:axId val="2117156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157936"/>
        <c:crosses val="autoZero"/>
        <c:auto val="1"/>
        <c:lblAlgn val="ctr"/>
        <c:lblOffset val="100"/>
        <c:noMultiLvlLbl val="0"/>
      </c:catAx>
      <c:valAx>
        <c:axId val="211715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15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project (Autosaved).xlsx]Sheet2!PivotTable1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3546981627296587"/>
          <c:y val="0.2572178477690289"/>
          <c:w val="0.70405358705161858"/>
          <c:h val="0.522642534266550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Mobile</c:v>
                </c:pt>
                <c:pt idx="1">
                  <c:v>Smartwatch</c:v>
                </c:pt>
                <c:pt idx="2">
                  <c:v>Laptop</c:v>
                </c:pt>
                <c:pt idx="3">
                  <c:v>Tablet</c:v>
                </c:pt>
                <c:pt idx="4">
                  <c:v>Headphones</c:v>
                </c:pt>
                <c:pt idx="5">
                  <c:v>(blank)</c:v>
                </c:pt>
              </c:strCache>
            </c:strRef>
          </c:cat>
          <c:val>
            <c:numRef>
              <c:f>Sheet2!$B$5:$B$11</c:f>
              <c:numCache>
                <c:formatCode>General</c:formatCode>
                <c:ptCount val="6"/>
                <c:pt idx="0">
                  <c:v>417508</c:v>
                </c:pt>
                <c:pt idx="1">
                  <c:v>239606</c:v>
                </c:pt>
                <c:pt idx="2">
                  <c:v>895281</c:v>
                </c:pt>
                <c:pt idx="3">
                  <c:v>675159</c:v>
                </c:pt>
                <c:pt idx="4">
                  <c:v>721090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Mobile</c:v>
                </c:pt>
                <c:pt idx="1">
                  <c:v>Smartwatch</c:v>
                </c:pt>
                <c:pt idx="2">
                  <c:v>Laptop</c:v>
                </c:pt>
                <c:pt idx="3">
                  <c:v>Tablet</c:v>
                </c:pt>
                <c:pt idx="4">
                  <c:v>Headphones</c:v>
                </c:pt>
                <c:pt idx="5">
                  <c:v>(blank)</c:v>
                </c:pt>
              </c:strCache>
            </c:strRef>
          </c:cat>
          <c:val>
            <c:numRef>
              <c:f>Sheet2!$C$5:$C$11</c:f>
              <c:numCache>
                <c:formatCode>General</c:formatCode>
                <c:ptCount val="6"/>
                <c:pt idx="0">
                  <c:v>651987</c:v>
                </c:pt>
                <c:pt idx="1">
                  <c:v>833476</c:v>
                </c:pt>
                <c:pt idx="2">
                  <c:v>966339</c:v>
                </c:pt>
                <c:pt idx="3">
                  <c:v>1107005</c:v>
                </c:pt>
                <c:pt idx="4">
                  <c:v>942396</c:v>
                </c:pt>
              </c:numCache>
            </c:numRef>
          </c:val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Mobile</c:v>
                </c:pt>
                <c:pt idx="1">
                  <c:v>Smartwatch</c:v>
                </c:pt>
                <c:pt idx="2">
                  <c:v>Laptop</c:v>
                </c:pt>
                <c:pt idx="3">
                  <c:v>Tablet</c:v>
                </c:pt>
                <c:pt idx="4">
                  <c:v>Headphones</c:v>
                </c:pt>
                <c:pt idx="5">
                  <c:v>(blank)</c:v>
                </c:pt>
              </c:strCache>
            </c:strRef>
          </c:cat>
          <c:val>
            <c:numRef>
              <c:f>Sheet2!$D$5:$D$11</c:f>
              <c:numCache>
                <c:formatCode>General</c:formatCode>
                <c:ptCount val="6"/>
                <c:pt idx="0">
                  <c:v>652765</c:v>
                </c:pt>
                <c:pt idx="1">
                  <c:v>405180</c:v>
                </c:pt>
                <c:pt idx="2">
                  <c:v>589902</c:v>
                </c:pt>
                <c:pt idx="3">
                  <c:v>555296</c:v>
                </c:pt>
                <c:pt idx="4">
                  <c:v>653404</c:v>
                </c:pt>
              </c:numCache>
            </c:numRef>
          </c:val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Mobile</c:v>
                </c:pt>
                <c:pt idx="1">
                  <c:v>Smartwatch</c:v>
                </c:pt>
                <c:pt idx="2">
                  <c:v>Laptop</c:v>
                </c:pt>
                <c:pt idx="3">
                  <c:v>Tablet</c:v>
                </c:pt>
                <c:pt idx="4">
                  <c:v>Headphones</c:v>
                </c:pt>
                <c:pt idx="5">
                  <c:v>(blank)</c:v>
                </c:pt>
              </c:strCache>
            </c:strRef>
          </c:cat>
          <c:val>
            <c:numRef>
              <c:f>Sheet2!$E$5:$E$11</c:f>
              <c:numCache>
                <c:formatCode>General</c:formatCode>
                <c:ptCount val="6"/>
                <c:pt idx="0">
                  <c:v>556758</c:v>
                </c:pt>
                <c:pt idx="1">
                  <c:v>585251</c:v>
                </c:pt>
                <c:pt idx="2">
                  <c:v>744031</c:v>
                </c:pt>
                <c:pt idx="3">
                  <c:v>561901</c:v>
                </c:pt>
                <c:pt idx="4">
                  <c:v>1010876</c:v>
                </c:pt>
              </c:numCache>
            </c:numRef>
          </c:val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Mobile</c:v>
                </c:pt>
                <c:pt idx="1">
                  <c:v>Smartwatch</c:v>
                </c:pt>
                <c:pt idx="2">
                  <c:v>Laptop</c:v>
                </c:pt>
                <c:pt idx="3">
                  <c:v>Tablet</c:v>
                </c:pt>
                <c:pt idx="4">
                  <c:v>Headphones</c:v>
                </c:pt>
                <c:pt idx="5">
                  <c:v>(blank)</c:v>
                </c:pt>
              </c:strCache>
            </c:strRef>
          </c:cat>
          <c:val>
            <c:numRef>
              <c:f>Sheet2!$F$5:$F$11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158480"/>
        <c:axId val="2117161744"/>
      </c:barChart>
      <c:catAx>
        <c:axId val="211715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161744"/>
        <c:crosses val="autoZero"/>
        <c:auto val="1"/>
        <c:lblAlgn val="ctr"/>
        <c:lblOffset val="100"/>
        <c:noMultiLvlLbl val="0"/>
      </c:catAx>
      <c:valAx>
        <c:axId val="211716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15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297180</xdr:colOff>
      <xdr:row>13</xdr:row>
      <xdr:rowOff>167640</xdr:rowOff>
    </xdr:from>
    <xdr:to>
      <xdr:col>12</xdr:col>
      <xdr:colOff>601980</xdr:colOff>
      <xdr:row>28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320040</xdr:colOff>
      <xdr:row>13</xdr:row>
      <xdr:rowOff>160020</xdr:rowOff>
    </xdr:from>
    <xdr:to>
      <xdr:col>12</xdr:col>
      <xdr:colOff>624840</xdr:colOff>
      <xdr:row>28</xdr:row>
      <xdr:rowOff>160020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47.910503240739" createdVersion="5" refreshedVersion="5" minRefreshableVersion="3" recordCount="201">
  <cacheSource type="worksheet">
    <worksheetSource ref="A1:F202" sheet="pivot table"/>
  </cacheSource>
  <cacheFields count="6">
    <cacheField name="Date" numFmtId="0">
      <sharedItems containsNonDate="0" containsDate="1" containsString="0" containsBlank="1" minDate="2024-01-02T00:00:00" maxDate="2024-07-20T00:00:00" count="201"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m/>
      </sharedItems>
    </cacheField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ntainsBlank="1" count="6">
        <s v="Laptop"/>
        <s v="Tablet"/>
        <s v="Smartwatch"/>
        <s v="Mobile"/>
        <s v="Headphones"/>
        <m/>
      </sharedItems>
    </cacheField>
    <cacheField name="Salesperson" numFmtId="0">
      <sharedItems containsBlank="1" count="8">
        <s v="Amit"/>
        <s v="Rahul"/>
        <s v="Neha"/>
        <s v="Karan"/>
        <s v="Sneha"/>
        <s v="Pooja"/>
        <s v="Vikas"/>
        <m/>
      </sharedItems>
    </cacheField>
    <cacheField name="Quantity" numFmtId="0">
      <sharedItems containsString="0" containsBlank="1" containsNumber="1" containsInteger="1" minValue="1" maxValue="10" count="11">
        <n v="9"/>
        <n v="3"/>
        <n v="10"/>
        <n v="6"/>
        <n v="7"/>
        <n v="4"/>
        <n v="2"/>
        <n v="1"/>
        <n v="8"/>
        <n v="5"/>
        <m/>
      </sharedItems>
    </cacheField>
    <cacheField name="Sales Amount" numFmtId="0">
      <sharedItems containsString="0" containsBlank="1" containsNumber="1" containsInteger="1" minValue="5331" maxValue="178000" count="200">
        <n v="121131"/>
        <n v="23658"/>
        <n v="87650"/>
        <n v="171200"/>
        <n v="125280"/>
        <n v="65670"/>
        <n v="172143"/>
        <n v="97098"/>
        <n v="74865"/>
        <n v="140590"/>
        <n v="66256"/>
        <n v="22558"/>
        <n v="5644"/>
        <n v="34236"/>
        <n v="23367"/>
        <n v="136818"/>
        <n v="112688"/>
        <n v="9616"/>
        <n v="29948"/>
        <n v="33468"/>
        <n v="29454"/>
        <n v="25772"/>
        <n v="74837"/>
        <n v="68383"/>
        <n v="17000"/>
        <n v="64992"/>
        <n v="27116"/>
        <n v="105204"/>
        <n v="153090"/>
        <n v="53649"/>
        <n v="22892"/>
        <n v="169236"/>
        <n v="28124"/>
        <n v="13891"/>
        <n v="57324"/>
        <n v="137347"/>
        <n v="150792"/>
        <n v="151803"/>
        <n v="36723"/>
        <n v="69930"/>
        <n v="90045"/>
        <n v="11918"/>
        <n v="95767"/>
        <n v="113160"/>
        <n v="14692"/>
        <n v="108328"/>
        <n v="37794"/>
        <n v="10850"/>
        <n v="118800"/>
        <n v="70680"/>
        <n v="23838"/>
        <n v="153954"/>
        <n v="53634"/>
        <n v="9300"/>
        <n v="67328"/>
        <n v="10366"/>
        <n v="65370"/>
        <n v="15728"/>
        <n v="69538"/>
        <n v="127827"/>
        <n v="34856"/>
        <n v="137137"/>
        <n v="64990"/>
        <n v="12585"/>
        <n v="27944"/>
        <n v="37930"/>
        <n v="59213"/>
        <n v="8864"/>
        <n v="135441"/>
        <n v="120708"/>
        <n v="30372"/>
        <n v="133232"/>
        <n v="85720"/>
        <n v="53656"/>
        <n v="83916"/>
        <n v="30624"/>
        <n v="74982"/>
        <n v="103230"/>
        <n v="88995"/>
        <n v="84340"/>
        <n v="17748"/>
        <n v="85939"/>
        <n v="53584"/>
        <n v="44262"/>
        <n v="73055"/>
        <n v="82410"/>
        <n v="52092"/>
        <n v="123104"/>
        <n v="63128"/>
        <n v="117108"/>
        <n v="59456"/>
        <n v="77105"/>
        <n v="91322"/>
        <n v="29422"/>
        <n v="6075"/>
        <n v="56799"/>
        <n v="20222"/>
        <n v="78880"/>
        <n v="44115"/>
        <n v="167373"/>
        <n v="31804"/>
        <n v="49275"/>
        <n v="43242"/>
        <n v="40089"/>
        <n v="8732"/>
        <n v="121725"/>
        <n v="162180"/>
        <n v="178000"/>
        <n v="6919"/>
        <n v="11964"/>
        <n v="106976"/>
        <n v="75942"/>
        <n v="71580"/>
        <n v="94365"/>
        <n v="27654"/>
        <n v="124528"/>
        <n v="5331"/>
        <n v="54392"/>
        <n v="58065"/>
        <n v="93475"/>
        <n v="29378"/>
        <n v="32836"/>
        <n v="7426"/>
        <n v="46026"/>
        <n v="103032"/>
        <n v="125721"/>
        <n v="141290"/>
        <n v="39936"/>
        <n v="80037"/>
        <n v="20124"/>
        <n v="67176"/>
        <n v="62172"/>
        <n v="100373"/>
        <n v="84390"/>
        <n v="63455"/>
        <n v="14340"/>
        <n v="34114"/>
        <n v="113970"/>
        <n v="113982"/>
        <n v="24088"/>
        <n v="58040"/>
        <n v="17287"/>
        <n v="62395"/>
        <n v="103998"/>
        <n v="7899"/>
        <n v="159900"/>
        <n v="24308"/>
        <n v="17230"/>
        <n v="67068"/>
        <n v="127701"/>
        <n v="29830"/>
        <n v="94920"/>
        <n v="48440"/>
        <n v="57051"/>
        <n v="82607"/>
        <n v="54894"/>
        <n v="52230"/>
        <n v="13171"/>
        <n v="70456"/>
        <n v="28143"/>
        <n v="47466"/>
        <n v="119520"/>
        <n v="10430"/>
        <n v="147168"/>
        <n v="74259"/>
        <n v="120856"/>
        <n v="162864"/>
        <n v="12828"/>
        <n v="117677"/>
        <n v="132030"/>
        <n v="99603"/>
        <n v="54330"/>
        <n v="80100"/>
        <n v="51842"/>
        <n v="23292"/>
        <n v="78995"/>
        <n v="89649"/>
        <n v="12652"/>
        <n v="76014"/>
        <n v="59985"/>
        <n v="16220"/>
        <n v="84450"/>
        <n v="43092"/>
        <n v="55995"/>
        <n v="78248"/>
        <n v="163800"/>
        <n v="32700"/>
        <n v="23138"/>
        <n v="39472"/>
        <n v="102184"/>
        <n v="22218"/>
        <n v="28074"/>
        <n v="30172"/>
        <n v="138141"/>
        <n v="59208"/>
        <n v="156960"/>
        <n v="10838"/>
        <n v="74184"/>
        <n v="11973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1">
  <r>
    <x v="0"/>
    <x v="0"/>
    <x v="0"/>
    <x v="0"/>
    <x v="0"/>
    <x v="0"/>
  </r>
  <r>
    <x v="1"/>
    <x v="1"/>
    <x v="0"/>
    <x v="1"/>
    <x v="1"/>
    <x v="1"/>
  </r>
  <r>
    <x v="2"/>
    <x v="0"/>
    <x v="1"/>
    <x v="1"/>
    <x v="2"/>
    <x v="2"/>
  </r>
  <r>
    <x v="3"/>
    <x v="1"/>
    <x v="2"/>
    <x v="2"/>
    <x v="2"/>
    <x v="3"/>
  </r>
  <r>
    <x v="4"/>
    <x v="0"/>
    <x v="3"/>
    <x v="0"/>
    <x v="0"/>
    <x v="4"/>
  </r>
  <r>
    <x v="5"/>
    <x v="2"/>
    <x v="4"/>
    <x v="3"/>
    <x v="2"/>
    <x v="5"/>
  </r>
  <r>
    <x v="6"/>
    <x v="1"/>
    <x v="3"/>
    <x v="4"/>
    <x v="0"/>
    <x v="6"/>
  </r>
  <r>
    <x v="7"/>
    <x v="1"/>
    <x v="2"/>
    <x v="5"/>
    <x v="3"/>
    <x v="7"/>
  </r>
  <r>
    <x v="8"/>
    <x v="3"/>
    <x v="3"/>
    <x v="2"/>
    <x v="4"/>
    <x v="8"/>
  </r>
  <r>
    <x v="9"/>
    <x v="3"/>
    <x v="0"/>
    <x v="5"/>
    <x v="2"/>
    <x v="9"/>
  </r>
  <r>
    <x v="10"/>
    <x v="1"/>
    <x v="1"/>
    <x v="3"/>
    <x v="5"/>
    <x v="10"/>
  </r>
  <r>
    <x v="11"/>
    <x v="1"/>
    <x v="4"/>
    <x v="5"/>
    <x v="6"/>
    <x v="11"/>
  </r>
  <r>
    <x v="12"/>
    <x v="3"/>
    <x v="4"/>
    <x v="0"/>
    <x v="7"/>
    <x v="12"/>
  </r>
  <r>
    <x v="13"/>
    <x v="2"/>
    <x v="2"/>
    <x v="2"/>
    <x v="1"/>
    <x v="13"/>
  </r>
  <r>
    <x v="14"/>
    <x v="2"/>
    <x v="0"/>
    <x v="4"/>
    <x v="1"/>
    <x v="14"/>
  </r>
  <r>
    <x v="15"/>
    <x v="0"/>
    <x v="3"/>
    <x v="5"/>
    <x v="0"/>
    <x v="15"/>
  </r>
  <r>
    <x v="16"/>
    <x v="3"/>
    <x v="0"/>
    <x v="2"/>
    <x v="8"/>
    <x v="16"/>
  </r>
  <r>
    <x v="17"/>
    <x v="0"/>
    <x v="2"/>
    <x v="3"/>
    <x v="7"/>
    <x v="17"/>
  </r>
  <r>
    <x v="18"/>
    <x v="1"/>
    <x v="1"/>
    <x v="2"/>
    <x v="5"/>
    <x v="18"/>
  </r>
  <r>
    <x v="19"/>
    <x v="2"/>
    <x v="4"/>
    <x v="0"/>
    <x v="5"/>
    <x v="19"/>
  </r>
  <r>
    <x v="20"/>
    <x v="0"/>
    <x v="2"/>
    <x v="4"/>
    <x v="6"/>
    <x v="20"/>
  </r>
  <r>
    <x v="21"/>
    <x v="0"/>
    <x v="4"/>
    <x v="3"/>
    <x v="6"/>
    <x v="21"/>
  </r>
  <r>
    <x v="22"/>
    <x v="0"/>
    <x v="0"/>
    <x v="5"/>
    <x v="4"/>
    <x v="22"/>
  </r>
  <r>
    <x v="23"/>
    <x v="1"/>
    <x v="3"/>
    <x v="3"/>
    <x v="4"/>
    <x v="23"/>
  </r>
  <r>
    <x v="24"/>
    <x v="2"/>
    <x v="3"/>
    <x v="5"/>
    <x v="7"/>
    <x v="24"/>
  </r>
  <r>
    <x v="25"/>
    <x v="2"/>
    <x v="4"/>
    <x v="6"/>
    <x v="3"/>
    <x v="25"/>
  </r>
  <r>
    <x v="26"/>
    <x v="3"/>
    <x v="0"/>
    <x v="4"/>
    <x v="6"/>
    <x v="26"/>
  </r>
  <r>
    <x v="27"/>
    <x v="2"/>
    <x v="3"/>
    <x v="2"/>
    <x v="3"/>
    <x v="27"/>
  </r>
  <r>
    <x v="28"/>
    <x v="2"/>
    <x v="0"/>
    <x v="3"/>
    <x v="2"/>
    <x v="28"/>
  </r>
  <r>
    <x v="29"/>
    <x v="3"/>
    <x v="4"/>
    <x v="4"/>
    <x v="0"/>
    <x v="29"/>
  </r>
  <r>
    <x v="30"/>
    <x v="0"/>
    <x v="2"/>
    <x v="2"/>
    <x v="6"/>
    <x v="30"/>
  </r>
  <r>
    <x v="31"/>
    <x v="3"/>
    <x v="0"/>
    <x v="5"/>
    <x v="0"/>
    <x v="31"/>
  </r>
  <r>
    <x v="32"/>
    <x v="0"/>
    <x v="0"/>
    <x v="5"/>
    <x v="5"/>
    <x v="32"/>
  </r>
  <r>
    <x v="33"/>
    <x v="0"/>
    <x v="0"/>
    <x v="6"/>
    <x v="7"/>
    <x v="33"/>
  </r>
  <r>
    <x v="34"/>
    <x v="3"/>
    <x v="1"/>
    <x v="1"/>
    <x v="3"/>
    <x v="34"/>
  </r>
  <r>
    <x v="35"/>
    <x v="3"/>
    <x v="1"/>
    <x v="2"/>
    <x v="4"/>
    <x v="35"/>
  </r>
  <r>
    <x v="36"/>
    <x v="3"/>
    <x v="4"/>
    <x v="2"/>
    <x v="8"/>
    <x v="36"/>
  </r>
  <r>
    <x v="37"/>
    <x v="1"/>
    <x v="0"/>
    <x v="5"/>
    <x v="0"/>
    <x v="37"/>
  </r>
  <r>
    <x v="38"/>
    <x v="2"/>
    <x v="4"/>
    <x v="4"/>
    <x v="1"/>
    <x v="38"/>
  </r>
  <r>
    <x v="39"/>
    <x v="2"/>
    <x v="1"/>
    <x v="3"/>
    <x v="2"/>
    <x v="39"/>
  </r>
  <r>
    <x v="40"/>
    <x v="3"/>
    <x v="1"/>
    <x v="2"/>
    <x v="0"/>
    <x v="40"/>
  </r>
  <r>
    <x v="41"/>
    <x v="1"/>
    <x v="2"/>
    <x v="5"/>
    <x v="7"/>
    <x v="41"/>
  </r>
  <r>
    <x v="42"/>
    <x v="3"/>
    <x v="1"/>
    <x v="4"/>
    <x v="4"/>
    <x v="42"/>
  </r>
  <r>
    <x v="43"/>
    <x v="1"/>
    <x v="4"/>
    <x v="6"/>
    <x v="8"/>
    <x v="43"/>
  </r>
  <r>
    <x v="44"/>
    <x v="2"/>
    <x v="0"/>
    <x v="6"/>
    <x v="6"/>
    <x v="44"/>
  </r>
  <r>
    <x v="45"/>
    <x v="2"/>
    <x v="2"/>
    <x v="3"/>
    <x v="8"/>
    <x v="45"/>
  </r>
  <r>
    <x v="46"/>
    <x v="3"/>
    <x v="4"/>
    <x v="4"/>
    <x v="1"/>
    <x v="46"/>
  </r>
  <r>
    <x v="47"/>
    <x v="2"/>
    <x v="0"/>
    <x v="2"/>
    <x v="6"/>
    <x v="47"/>
  </r>
  <r>
    <x v="48"/>
    <x v="0"/>
    <x v="0"/>
    <x v="5"/>
    <x v="0"/>
    <x v="48"/>
  </r>
  <r>
    <x v="49"/>
    <x v="3"/>
    <x v="4"/>
    <x v="1"/>
    <x v="9"/>
    <x v="49"/>
  </r>
  <r>
    <x v="50"/>
    <x v="0"/>
    <x v="0"/>
    <x v="6"/>
    <x v="1"/>
    <x v="50"/>
  </r>
  <r>
    <x v="51"/>
    <x v="0"/>
    <x v="2"/>
    <x v="3"/>
    <x v="0"/>
    <x v="51"/>
  </r>
  <r>
    <x v="52"/>
    <x v="0"/>
    <x v="2"/>
    <x v="1"/>
    <x v="4"/>
    <x v="52"/>
  </r>
  <r>
    <x v="53"/>
    <x v="1"/>
    <x v="1"/>
    <x v="3"/>
    <x v="7"/>
    <x v="53"/>
  </r>
  <r>
    <x v="54"/>
    <x v="0"/>
    <x v="0"/>
    <x v="6"/>
    <x v="5"/>
    <x v="54"/>
  </r>
  <r>
    <x v="55"/>
    <x v="3"/>
    <x v="4"/>
    <x v="3"/>
    <x v="6"/>
    <x v="55"/>
  </r>
  <r>
    <x v="56"/>
    <x v="3"/>
    <x v="2"/>
    <x v="6"/>
    <x v="9"/>
    <x v="56"/>
  </r>
  <r>
    <x v="57"/>
    <x v="0"/>
    <x v="4"/>
    <x v="0"/>
    <x v="6"/>
    <x v="57"/>
  </r>
  <r>
    <x v="58"/>
    <x v="1"/>
    <x v="3"/>
    <x v="2"/>
    <x v="4"/>
    <x v="58"/>
  </r>
  <r>
    <x v="59"/>
    <x v="0"/>
    <x v="0"/>
    <x v="3"/>
    <x v="0"/>
    <x v="59"/>
  </r>
  <r>
    <x v="60"/>
    <x v="1"/>
    <x v="0"/>
    <x v="1"/>
    <x v="6"/>
    <x v="60"/>
  </r>
  <r>
    <x v="61"/>
    <x v="0"/>
    <x v="0"/>
    <x v="2"/>
    <x v="4"/>
    <x v="61"/>
  </r>
  <r>
    <x v="62"/>
    <x v="1"/>
    <x v="4"/>
    <x v="0"/>
    <x v="9"/>
    <x v="62"/>
  </r>
  <r>
    <x v="63"/>
    <x v="3"/>
    <x v="0"/>
    <x v="3"/>
    <x v="7"/>
    <x v="63"/>
  </r>
  <r>
    <x v="64"/>
    <x v="3"/>
    <x v="2"/>
    <x v="3"/>
    <x v="6"/>
    <x v="64"/>
  </r>
  <r>
    <x v="65"/>
    <x v="3"/>
    <x v="4"/>
    <x v="3"/>
    <x v="9"/>
    <x v="65"/>
  </r>
  <r>
    <x v="66"/>
    <x v="3"/>
    <x v="3"/>
    <x v="4"/>
    <x v="4"/>
    <x v="66"/>
  </r>
  <r>
    <x v="67"/>
    <x v="0"/>
    <x v="2"/>
    <x v="6"/>
    <x v="7"/>
    <x v="67"/>
  </r>
  <r>
    <x v="68"/>
    <x v="2"/>
    <x v="3"/>
    <x v="0"/>
    <x v="0"/>
    <x v="68"/>
  </r>
  <r>
    <x v="69"/>
    <x v="2"/>
    <x v="4"/>
    <x v="2"/>
    <x v="0"/>
    <x v="69"/>
  </r>
  <r>
    <x v="70"/>
    <x v="3"/>
    <x v="2"/>
    <x v="2"/>
    <x v="5"/>
    <x v="70"/>
  </r>
  <r>
    <x v="71"/>
    <x v="0"/>
    <x v="1"/>
    <x v="6"/>
    <x v="8"/>
    <x v="71"/>
  </r>
  <r>
    <x v="72"/>
    <x v="3"/>
    <x v="0"/>
    <x v="3"/>
    <x v="9"/>
    <x v="72"/>
  </r>
  <r>
    <x v="73"/>
    <x v="1"/>
    <x v="4"/>
    <x v="2"/>
    <x v="8"/>
    <x v="73"/>
  </r>
  <r>
    <x v="74"/>
    <x v="3"/>
    <x v="2"/>
    <x v="6"/>
    <x v="0"/>
    <x v="74"/>
  </r>
  <r>
    <x v="75"/>
    <x v="2"/>
    <x v="0"/>
    <x v="4"/>
    <x v="5"/>
    <x v="75"/>
  </r>
  <r>
    <x v="76"/>
    <x v="3"/>
    <x v="1"/>
    <x v="3"/>
    <x v="3"/>
    <x v="76"/>
  </r>
  <r>
    <x v="77"/>
    <x v="1"/>
    <x v="4"/>
    <x v="2"/>
    <x v="0"/>
    <x v="77"/>
  </r>
  <r>
    <x v="78"/>
    <x v="0"/>
    <x v="2"/>
    <x v="3"/>
    <x v="9"/>
    <x v="78"/>
  </r>
  <r>
    <x v="79"/>
    <x v="2"/>
    <x v="4"/>
    <x v="6"/>
    <x v="9"/>
    <x v="79"/>
  </r>
  <r>
    <x v="80"/>
    <x v="0"/>
    <x v="0"/>
    <x v="5"/>
    <x v="1"/>
    <x v="80"/>
  </r>
  <r>
    <x v="81"/>
    <x v="3"/>
    <x v="0"/>
    <x v="2"/>
    <x v="4"/>
    <x v="81"/>
  </r>
  <r>
    <x v="82"/>
    <x v="1"/>
    <x v="4"/>
    <x v="2"/>
    <x v="8"/>
    <x v="82"/>
  </r>
  <r>
    <x v="83"/>
    <x v="1"/>
    <x v="4"/>
    <x v="5"/>
    <x v="1"/>
    <x v="83"/>
  </r>
  <r>
    <x v="84"/>
    <x v="0"/>
    <x v="1"/>
    <x v="5"/>
    <x v="9"/>
    <x v="84"/>
  </r>
  <r>
    <x v="85"/>
    <x v="0"/>
    <x v="1"/>
    <x v="4"/>
    <x v="3"/>
    <x v="85"/>
  </r>
  <r>
    <x v="86"/>
    <x v="3"/>
    <x v="0"/>
    <x v="3"/>
    <x v="0"/>
    <x v="86"/>
  </r>
  <r>
    <x v="87"/>
    <x v="2"/>
    <x v="0"/>
    <x v="2"/>
    <x v="8"/>
    <x v="87"/>
  </r>
  <r>
    <x v="88"/>
    <x v="3"/>
    <x v="3"/>
    <x v="3"/>
    <x v="5"/>
    <x v="88"/>
  </r>
  <r>
    <x v="89"/>
    <x v="1"/>
    <x v="4"/>
    <x v="3"/>
    <x v="0"/>
    <x v="89"/>
  </r>
  <r>
    <x v="90"/>
    <x v="2"/>
    <x v="1"/>
    <x v="6"/>
    <x v="5"/>
    <x v="90"/>
  </r>
  <r>
    <x v="91"/>
    <x v="2"/>
    <x v="1"/>
    <x v="5"/>
    <x v="4"/>
    <x v="91"/>
  </r>
  <r>
    <x v="92"/>
    <x v="0"/>
    <x v="4"/>
    <x v="5"/>
    <x v="4"/>
    <x v="92"/>
  </r>
  <r>
    <x v="93"/>
    <x v="2"/>
    <x v="3"/>
    <x v="0"/>
    <x v="6"/>
    <x v="93"/>
  </r>
  <r>
    <x v="94"/>
    <x v="2"/>
    <x v="0"/>
    <x v="3"/>
    <x v="7"/>
    <x v="94"/>
  </r>
  <r>
    <x v="95"/>
    <x v="2"/>
    <x v="1"/>
    <x v="6"/>
    <x v="0"/>
    <x v="95"/>
  </r>
  <r>
    <x v="96"/>
    <x v="3"/>
    <x v="2"/>
    <x v="3"/>
    <x v="6"/>
    <x v="96"/>
  </r>
  <r>
    <x v="97"/>
    <x v="1"/>
    <x v="1"/>
    <x v="1"/>
    <x v="8"/>
    <x v="97"/>
  </r>
  <r>
    <x v="98"/>
    <x v="3"/>
    <x v="2"/>
    <x v="5"/>
    <x v="9"/>
    <x v="98"/>
  </r>
  <r>
    <x v="99"/>
    <x v="0"/>
    <x v="1"/>
    <x v="3"/>
    <x v="0"/>
    <x v="99"/>
  </r>
  <r>
    <x v="100"/>
    <x v="1"/>
    <x v="3"/>
    <x v="0"/>
    <x v="6"/>
    <x v="100"/>
  </r>
  <r>
    <x v="101"/>
    <x v="0"/>
    <x v="4"/>
    <x v="0"/>
    <x v="1"/>
    <x v="101"/>
  </r>
  <r>
    <x v="102"/>
    <x v="1"/>
    <x v="3"/>
    <x v="2"/>
    <x v="1"/>
    <x v="102"/>
  </r>
  <r>
    <x v="103"/>
    <x v="3"/>
    <x v="3"/>
    <x v="6"/>
    <x v="1"/>
    <x v="103"/>
  </r>
  <r>
    <x v="104"/>
    <x v="1"/>
    <x v="4"/>
    <x v="6"/>
    <x v="7"/>
    <x v="104"/>
  </r>
  <r>
    <x v="105"/>
    <x v="3"/>
    <x v="4"/>
    <x v="6"/>
    <x v="0"/>
    <x v="105"/>
  </r>
  <r>
    <x v="106"/>
    <x v="2"/>
    <x v="0"/>
    <x v="1"/>
    <x v="2"/>
    <x v="106"/>
  </r>
  <r>
    <x v="107"/>
    <x v="0"/>
    <x v="4"/>
    <x v="2"/>
    <x v="2"/>
    <x v="107"/>
  </r>
  <r>
    <x v="108"/>
    <x v="1"/>
    <x v="3"/>
    <x v="4"/>
    <x v="7"/>
    <x v="108"/>
  </r>
  <r>
    <x v="109"/>
    <x v="0"/>
    <x v="2"/>
    <x v="0"/>
    <x v="7"/>
    <x v="109"/>
  </r>
  <r>
    <x v="110"/>
    <x v="0"/>
    <x v="4"/>
    <x v="4"/>
    <x v="8"/>
    <x v="110"/>
  </r>
  <r>
    <x v="111"/>
    <x v="3"/>
    <x v="4"/>
    <x v="1"/>
    <x v="3"/>
    <x v="111"/>
  </r>
  <r>
    <x v="112"/>
    <x v="3"/>
    <x v="1"/>
    <x v="4"/>
    <x v="9"/>
    <x v="112"/>
  </r>
  <r>
    <x v="113"/>
    <x v="2"/>
    <x v="4"/>
    <x v="0"/>
    <x v="0"/>
    <x v="113"/>
  </r>
  <r>
    <x v="114"/>
    <x v="1"/>
    <x v="1"/>
    <x v="2"/>
    <x v="6"/>
    <x v="114"/>
  </r>
  <r>
    <x v="115"/>
    <x v="2"/>
    <x v="0"/>
    <x v="6"/>
    <x v="8"/>
    <x v="115"/>
  </r>
  <r>
    <x v="116"/>
    <x v="1"/>
    <x v="3"/>
    <x v="6"/>
    <x v="7"/>
    <x v="116"/>
  </r>
  <r>
    <x v="117"/>
    <x v="0"/>
    <x v="1"/>
    <x v="3"/>
    <x v="5"/>
    <x v="117"/>
  </r>
  <r>
    <x v="118"/>
    <x v="3"/>
    <x v="0"/>
    <x v="6"/>
    <x v="4"/>
    <x v="118"/>
  </r>
  <r>
    <x v="119"/>
    <x v="0"/>
    <x v="1"/>
    <x v="0"/>
    <x v="9"/>
    <x v="119"/>
  </r>
  <r>
    <x v="120"/>
    <x v="1"/>
    <x v="0"/>
    <x v="1"/>
    <x v="6"/>
    <x v="120"/>
  </r>
  <r>
    <x v="121"/>
    <x v="3"/>
    <x v="3"/>
    <x v="2"/>
    <x v="6"/>
    <x v="121"/>
  </r>
  <r>
    <x v="122"/>
    <x v="0"/>
    <x v="2"/>
    <x v="6"/>
    <x v="7"/>
    <x v="122"/>
  </r>
  <r>
    <x v="123"/>
    <x v="3"/>
    <x v="4"/>
    <x v="3"/>
    <x v="0"/>
    <x v="123"/>
  </r>
  <r>
    <x v="124"/>
    <x v="0"/>
    <x v="1"/>
    <x v="2"/>
    <x v="8"/>
    <x v="124"/>
  </r>
  <r>
    <x v="125"/>
    <x v="0"/>
    <x v="0"/>
    <x v="4"/>
    <x v="0"/>
    <x v="125"/>
  </r>
  <r>
    <x v="126"/>
    <x v="3"/>
    <x v="2"/>
    <x v="1"/>
    <x v="2"/>
    <x v="126"/>
  </r>
  <r>
    <x v="127"/>
    <x v="0"/>
    <x v="2"/>
    <x v="6"/>
    <x v="6"/>
    <x v="127"/>
  </r>
  <r>
    <x v="128"/>
    <x v="2"/>
    <x v="1"/>
    <x v="5"/>
    <x v="0"/>
    <x v="128"/>
  </r>
  <r>
    <x v="129"/>
    <x v="0"/>
    <x v="0"/>
    <x v="4"/>
    <x v="1"/>
    <x v="129"/>
  </r>
  <r>
    <x v="130"/>
    <x v="2"/>
    <x v="4"/>
    <x v="4"/>
    <x v="8"/>
    <x v="130"/>
  </r>
  <r>
    <x v="131"/>
    <x v="1"/>
    <x v="0"/>
    <x v="3"/>
    <x v="5"/>
    <x v="131"/>
  </r>
  <r>
    <x v="132"/>
    <x v="3"/>
    <x v="4"/>
    <x v="6"/>
    <x v="4"/>
    <x v="132"/>
  </r>
  <r>
    <x v="133"/>
    <x v="2"/>
    <x v="2"/>
    <x v="2"/>
    <x v="9"/>
    <x v="133"/>
  </r>
  <r>
    <x v="134"/>
    <x v="3"/>
    <x v="4"/>
    <x v="4"/>
    <x v="4"/>
    <x v="134"/>
  </r>
  <r>
    <x v="135"/>
    <x v="2"/>
    <x v="4"/>
    <x v="0"/>
    <x v="6"/>
    <x v="135"/>
  </r>
  <r>
    <x v="136"/>
    <x v="3"/>
    <x v="3"/>
    <x v="5"/>
    <x v="6"/>
    <x v="136"/>
  </r>
  <r>
    <x v="137"/>
    <x v="0"/>
    <x v="4"/>
    <x v="0"/>
    <x v="2"/>
    <x v="137"/>
  </r>
  <r>
    <x v="138"/>
    <x v="3"/>
    <x v="2"/>
    <x v="6"/>
    <x v="3"/>
    <x v="138"/>
  </r>
  <r>
    <x v="139"/>
    <x v="0"/>
    <x v="1"/>
    <x v="0"/>
    <x v="6"/>
    <x v="139"/>
  </r>
  <r>
    <x v="140"/>
    <x v="3"/>
    <x v="2"/>
    <x v="2"/>
    <x v="5"/>
    <x v="140"/>
  </r>
  <r>
    <x v="141"/>
    <x v="0"/>
    <x v="3"/>
    <x v="4"/>
    <x v="7"/>
    <x v="141"/>
  </r>
  <r>
    <x v="142"/>
    <x v="3"/>
    <x v="4"/>
    <x v="1"/>
    <x v="9"/>
    <x v="142"/>
  </r>
  <r>
    <x v="143"/>
    <x v="1"/>
    <x v="1"/>
    <x v="6"/>
    <x v="3"/>
    <x v="143"/>
  </r>
  <r>
    <x v="144"/>
    <x v="0"/>
    <x v="2"/>
    <x v="1"/>
    <x v="7"/>
    <x v="144"/>
  </r>
  <r>
    <x v="145"/>
    <x v="1"/>
    <x v="0"/>
    <x v="3"/>
    <x v="2"/>
    <x v="145"/>
  </r>
  <r>
    <x v="146"/>
    <x v="3"/>
    <x v="4"/>
    <x v="0"/>
    <x v="6"/>
    <x v="146"/>
  </r>
  <r>
    <x v="147"/>
    <x v="1"/>
    <x v="4"/>
    <x v="1"/>
    <x v="7"/>
    <x v="147"/>
  </r>
  <r>
    <x v="148"/>
    <x v="1"/>
    <x v="2"/>
    <x v="4"/>
    <x v="0"/>
    <x v="148"/>
  </r>
  <r>
    <x v="149"/>
    <x v="0"/>
    <x v="2"/>
    <x v="3"/>
    <x v="4"/>
    <x v="149"/>
  </r>
  <r>
    <x v="150"/>
    <x v="0"/>
    <x v="2"/>
    <x v="3"/>
    <x v="9"/>
    <x v="150"/>
  </r>
  <r>
    <x v="151"/>
    <x v="0"/>
    <x v="4"/>
    <x v="6"/>
    <x v="2"/>
    <x v="151"/>
  </r>
  <r>
    <x v="152"/>
    <x v="0"/>
    <x v="4"/>
    <x v="5"/>
    <x v="8"/>
    <x v="152"/>
  </r>
  <r>
    <x v="153"/>
    <x v="0"/>
    <x v="2"/>
    <x v="2"/>
    <x v="0"/>
    <x v="153"/>
  </r>
  <r>
    <x v="154"/>
    <x v="1"/>
    <x v="0"/>
    <x v="5"/>
    <x v="4"/>
    <x v="154"/>
  </r>
  <r>
    <x v="155"/>
    <x v="1"/>
    <x v="4"/>
    <x v="6"/>
    <x v="3"/>
    <x v="155"/>
  </r>
  <r>
    <x v="156"/>
    <x v="0"/>
    <x v="2"/>
    <x v="5"/>
    <x v="9"/>
    <x v="156"/>
  </r>
  <r>
    <x v="157"/>
    <x v="0"/>
    <x v="4"/>
    <x v="5"/>
    <x v="7"/>
    <x v="157"/>
  </r>
  <r>
    <x v="158"/>
    <x v="2"/>
    <x v="3"/>
    <x v="3"/>
    <x v="8"/>
    <x v="158"/>
  </r>
  <r>
    <x v="159"/>
    <x v="1"/>
    <x v="3"/>
    <x v="6"/>
    <x v="1"/>
    <x v="159"/>
  </r>
  <r>
    <x v="160"/>
    <x v="1"/>
    <x v="2"/>
    <x v="0"/>
    <x v="1"/>
    <x v="160"/>
  </r>
  <r>
    <x v="161"/>
    <x v="1"/>
    <x v="3"/>
    <x v="0"/>
    <x v="2"/>
    <x v="161"/>
  </r>
  <r>
    <x v="162"/>
    <x v="1"/>
    <x v="2"/>
    <x v="6"/>
    <x v="6"/>
    <x v="162"/>
  </r>
  <r>
    <x v="163"/>
    <x v="2"/>
    <x v="0"/>
    <x v="1"/>
    <x v="0"/>
    <x v="163"/>
  </r>
  <r>
    <x v="164"/>
    <x v="0"/>
    <x v="1"/>
    <x v="0"/>
    <x v="0"/>
    <x v="164"/>
  </r>
  <r>
    <x v="165"/>
    <x v="1"/>
    <x v="1"/>
    <x v="2"/>
    <x v="8"/>
    <x v="165"/>
  </r>
  <r>
    <x v="166"/>
    <x v="3"/>
    <x v="3"/>
    <x v="6"/>
    <x v="0"/>
    <x v="166"/>
  </r>
  <r>
    <x v="167"/>
    <x v="1"/>
    <x v="0"/>
    <x v="4"/>
    <x v="6"/>
    <x v="167"/>
  </r>
  <r>
    <x v="168"/>
    <x v="2"/>
    <x v="1"/>
    <x v="3"/>
    <x v="4"/>
    <x v="168"/>
  </r>
  <r>
    <x v="169"/>
    <x v="0"/>
    <x v="2"/>
    <x v="3"/>
    <x v="0"/>
    <x v="169"/>
  </r>
  <r>
    <x v="170"/>
    <x v="2"/>
    <x v="0"/>
    <x v="6"/>
    <x v="4"/>
    <x v="170"/>
  </r>
  <r>
    <x v="171"/>
    <x v="3"/>
    <x v="4"/>
    <x v="2"/>
    <x v="3"/>
    <x v="171"/>
  </r>
  <r>
    <x v="172"/>
    <x v="2"/>
    <x v="4"/>
    <x v="4"/>
    <x v="0"/>
    <x v="172"/>
  </r>
  <r>
    <x v="173"/>
    <x v="0"/>
    <x v="3"/>
    <x v="5"/>
    <x v="4"/>
    <x v="173"/>
  </r>
  <r>
    <x v="174"/>
    <x v="1"/>
    <x v="3"/>
    <x v="6"/>
    <x v="6"/>
    <x v="174"/>
  </r>
  <r>
    <x v="175"/>
    <x v="3"/>
    <x v="1"/>
    <x v="0"/>
    <x v="6"/>
    <x v="60"/>
  </r>
  <r>
    <x v="176"/>
    <x v="0"/>
    <x v="0"/>
    <x v="6"/>
    <x v="9"/>
    <x v="175"/>
  </r>
  <r>
    <x v="177"/>
    <x v="3"/>
    <x v="3"/>
    <x v="3"/>
    <x v="4"/>
    <x v="176"/>
  </r>
  <r>
    <x v="178"/>
    <x v="2"/>
    <x v="2"/>
    <x v="5"/>
    <x v="6"/>
    <x v="177"/>
  </r>
  <r>
    <x v="179"/>
    <x v="2"/>
    <x v="1"/>
    <x v="2"/>
    <x v="3"/>
    <x v="178"/>
  </r>
  <r>
    <x v="180"/>
    <x v="2"/>
    <x v="3"/>
    <x v="0"/>
    <x v="1"/>
    <x v="179"/>
  </r>
  <r>
    <x v="181"/>
    <x v="1"/>
    <x v="1"/>
    <x v="0"/>
    <x v="7"/>
    <x v="180"/>
  </r>
  <r>
    <x v="182"/>
    <x v="1"/>
    <x v="3"/>
    <x v="3"/>
    <x v="3"/>
    <x v="181"/>
  </r>
  <r>
    <x v="183"/>
    <x v="0"/>
    <x v="1"/>
    <x v="4"/>
    <x v="4"/>
    <x v="182"/>
  </r>
  <r>
    <x v="184"/>
    <x v="3"/>
    <x v="4"/>
    <x v="1"/>
    <x v="9"/>
    <x v="183"/>
  </r>
  <r>
    <x v="185"/>
    <x v="0"/>
    <x v="4"/>
    <x v="6"/>
    <x v="5"/>
    <x v="184"/>
  </r>
  <r>
    <x v="186"/>
    <x v="0"/>
    <x v="3"/>
    <x v="1"/>
    <x v="0"/>
    <x v="185"/>
  </r>
  <r>
    <x v="187"/>
    <x v="1"/>
    <x v="0"/>
    <x v="5"/>
    <x v="6"/>
    <x v="186"/>
  </r>
  <r>
    <x v="188"/>
    <x v="0"/>
    <x v="1"/>
    <x v="6"/>
    <x v="6"/>
    <x v="187"/>
  </r>
  <r>
    <x v="189"/>
    <x v="3"/>
    <x v="4"/>
    <x v="5"/>
    <x v="5"/>
    <x v="188"/>
  </r>
  <r>
    <x v="190"/>
    <x v="1"/>
    <x v="1"/>
    <x v="2"/>
    <x v="8"/>
    <x v="189"/>
  </r>
  <r>
    <x v="191"/>
    <x v="0"/>
    <x v="4"/>
    <x v="3"/>
    <x v="1"/>
    <x v="190"/>
  </r>
  <r>
    <x v="192"/>
    <x v="0"/>
    <x v="1"/>
    <x v="1"/>
    <x v="6"/>
    <x v="191"/>
  </r>
  <r>
    <x v="193"/>
    <x v="0"/>
    <x v="4"/>
    <x v="4"/>
    <x v="5"/>
    <x v="192"/>
  </r>
  <r>
    <x v="194"/>
    <x v="2"/>
    <x v="1"/>
    <x v="2"/>
    <x v="0"/>
    <x v="193"/>
  </r>
  <r>
    <x v="195"/>
    <x v="2"/>
    <x v="4"/>
    <x v="0"/>
    <x v="8"/>
    <x v="194"/>
  </r>
  <r>
    <x v="196"/>
    <x v="0"/>
    <x v="3"/>
    <x v="2"/>
    <x v="8"/>
    <x v="195"/>
  </r>
  <r>
    <x v="197"/>
    <x v="0"/>
    <x v="0"/>
    <x v="5"/>
    <x v="7"/>
    <x v="196"/>
  </r>
  <r>
    <x v="198"/>
    <x v="0"/>
    <x v="4"/>
    <x v="5"/>
    <x v="8"/>
    <x v="197"/>
  </r>
  <r>
    <x v="199"/>
    <x v="0"/>
    <x v="1"/>
    <x v="5"/>
    <x v="4"/>
    <x v="198"/>
  </r>
  <r>
    <x v="200"/>
    <x v="4"/>
    <x v="5"/>
    <x v="7"/>
    <x v="10"/>
    <x v="1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G11" firstHeaderRow="1" firstDataRow="2" firstDataCol="1"/>
  <pivotFields count="6">
    <pivotField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axis="axisCol" showAll="0">
      <items count="6">
        <item x="2"/>
        <item x="0"/>
        <item x="1"/>
        <item x="3"/>
        <item x="4"/>
        <item t="default"/>
      </items>
    </pivotField>
    <pivotField axis="axisRow" showAll="0" sortType="ascending">
      <items count="7">
        <item x="4"/>
        <item x="0"/>
        <item x="3"/>
        <item x="2"/>
        <item x="1"/>
        <item x="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4"/>
            </reference>
          </references>
        </pivotArea>
      </autoSortScope>
    </pivotField>
    <pivotField showAll="0">
      <items count="9">
        <item x="0"/>
        <item x="3"/>
        <item x="2"/>
        <item x="5"/>
        <item x="1"/>
        <item x="4"/>
        <item x="6"/>
        <item x="7"/>
        <item t="default"/>
      </items>
    </pivotField>
    <pivotField showAll="0">
      <items count="12">
        <item x="7"/>
        <item x="6"/>
        <item x="1"/>
        <item x="5"/>
        <item x="9"/>
        <item x="3"/>
        <item x="4"/>
        <item x="8"/>
        <item x="0"/>
        <item x="2"/>
        <item x="10"/>
        <item t="default"/>
      </items>
    </pivotField>
    <pivotField dataField="1" showAll="0">
      <items count="201">
        <item x="116"/>
        <item x="12"/>
        <item x="94"/>
        <item x="108"/>
        <item x="122"/>
        <item x="144"/>
        <item x="104"/>
        <item x="67"/>
        <item x="53"/>
        <item x="17"/>
        <item x="55"/>
        <item x="162"/>
        <item x="196"/>
        <item x="47"/>
        <item x="41"/>
        <item x="109"/>
        <item x="63"/>
        <item x="177"/>
        <item x="167"/>
        <item x="157"/>
        <item x="33"/>
        <item x="135"/>
        <item x="44"/>
        <item x="57"/>
        <item x="180"/>
        <item x="24"/>
        <item x="147"/>
        <item x="141"/>
        <item x="80"/>
        <item x="129"/>
        <item x="96"/>
        <item x="190"/>
        <item x="11"/>
        <item x="30"/>
        <item x="187"/>
        <item x="174"/>
        <item x="14"/>
        <item x="1"/>
        <item x="50"/>
        <item x="139"/>
        <item x="146"/>
        <item x="21"/>
        <item x="26"/>
        <item x="114"/>
        <item x="64"/>
        <item x="191"/>
        <item x="32"/>
        <item x="159"/>
        <item x="120"/>
        <item x="93"/>
        <item x="20"/>
        <item x="150"/>
        <item x="18"/>
        <item x="192"/>
        <item x="70"/>
        <item x="75"/>
        <item x="100"/>
        <item x="186"/>
        <item x="121"/>
        <item x="19"/>
        <item x="136"/>
        <item x="13"/>
        <item x="60"/>
        <item x="38"/>
        <item x="46"/>
        <item x="65"/>
        <item x="188"/>
        <item x="127"/>
        <item x="103"/>
        <item x="182"/>
        <item x="102"/>
        <item x="98"/>
        <item x="83"/>
        <item x="123"/>
        <item x="160"/>
        <item x="152"/>
        <item x="101"/>
        <item x="173"/>
        <item x="86"/>
        <item x="156"/>
        <item x="82"/>
        <item x="52"/>
        <item x="29"/>
        <item x="73"/>
        <item x="171"/>
        <item x="117"/>
        <item x="155"/>
        <item x="183"/>
        <item x="95"/>
        <item x="153"/>
        <item x="34"/>
        <item x="140"/>
        <item x="118"/>
        <item x="194"/>
        <item x="66"/>
        <item x="90"/>
        <item x="179"/>
        <item x="131"/>
        <item x="142"/>
        <item x="88"/>
        <item x="134"/>
        <item x="62"/>
        <item x="25"/>
        <item x="56"/>
        <item x="5"/>
        <item x="10"/>
        <item x="148"/>
        <item x="130"/>
        <item x="54"/>
        <item x="23"/>
        <item x="58"/>
        <item x="39"/>
        <item x="158"/>
        <item x="49"/>
        <item x="112"/>
        <item x="84"/>
        <item x="197"/>
        <item x="164"/>
        <item x="22"/>
        <item x="8"/>
        <item x="76"/>
        <item x="111"/>
        <item x="178"/>
        <item x="91"/>
        <item x="184"/>
        <item x="97"/>
        <item x="175"/>
        <item x="128"/>
        <item x="172"/>
        <item x="85"/>
        <item x="154"/>
        <item x="74"/>
        <item x="79"/>
        <item x="133"/>
        <item x="181"/>
        <item x="72"/>
        <item x="81"/>
        <item x="2"/>
        <item x="78"/>
        <item x="176"/>
        <item x="40"/>
        <item x="92"/>
        <item x="119"/>
        <item x="113"/>
        <item x="151"/>
        <item x="42"/>
        <item x="7"/>
        <item x="170"/>
        <item x="132"/>
        <item x="189"/>
        <item x="124"/>
        <item x="77"/>
        <item x="143"/>
        <item x="27"/>
        <item x="110"/>
        <item x="45"/>
        <item x="16"/>
        <item x="43"/>
        <item x="137"/>
        <item x="138"/>
        <item x="89"/>
        <item x="168"/>
        <item x="48"/>
        <item x="161"/>
        <item x="198"/>
        <item x="69"/>
        <item x="165"/>
        <item x="0"/>
        <item x="105"/>
        <item x="87"/>
        <item x="115"/>
        <item x="4"/>
        <item x="125"/>
        <item x="149"/>
        <item x="59"/>
        <item x="169"/>
        <item x="71"/>
        <item x="68"/>
        <item x="15"/>
        <item x="61"/>
        <item x="35"/>
        <item x="193"/>
        <item x="9"/>
        <item x="126"/>
        <item x="163"/>
        <item x="36"/>
        <item x="37"/>
        <item x="28"/>
        <item x="51"/>
        <item x="195"/>
        <item x="145"/>
        <item x="106"/>
        <item x="166"/>
        <item x="185"/>
        <item x="99"/>
        <item x="31"/>
        <item x="3"/>
        <item x="6"/>
        <item x="107"/>
        <item x="199"/>
        <item t="default"/>
      </items>
    </pivotField>
  </pivotFields>
  <rowFields count="1">
    <field x="2"/>
  </rowFields>
  <rowItems count="7">
    <i>
      <x v="2"/>
    </i>
    <i>
      <x v="3"/>
    </i>
    <i>
      <x v="1"/>
    </i>
    <i>
      <x v="4"/>
    </i>
    <i>
      <x/>
    </i>
    <i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 Amount" fld="5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I7:M13" totalsRowShown="0">
  <autoFilter ref="I7:M13"/>
  <tableColumns count="5">
    <tableColumn id="1" name="ITEM/REGION"/>
    <tableColumn id="2" name="NORTH"/>
    <tableColumn id="3" name="SOUTH"/>
    <tableColumn id="4" name="EAST"/>
    <tableColumn id="5" name="WE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tabSelected="1" workbookViewId="0">
      <selection activeCell="C205" sqref="C205"/>
    </sheetView>
  </sheetViews>
  <sheetFormatPr defaultRowHeight="14.4" x14ac:dyDescent="0.3"/>
  <cols>
    <col min="1" max="1" width="10.6640625" customWidth="1"/>
    <col min="3" max="3" width="11.88671875" customWidth="1"/>
    <col min="4" max="4" width="13.33203125" customWidth="1"/>
    <col min="6" max="6" width="14.44140625" customWidth="1"/>
    <col min="7" max="7" width="13" customWidth="1"/>
    <col min="9" max="9" width="20.88671875" customWidth="1"/>
    <col min="10" max="10" width="12" customWidth="1"/>
    <col min="11" max="11" width="14.44140625" customWidth="1"/>
    <col min="12" max="12" width="13.109375" customWidth="1"/>
    <col min="15" max="15" width="11.44140625" customWidth="1"/>
    <col min="17" max="17" width="13.33203125" customWidth="1"/>
    <col min="18" max="18" width="16.33203125" customWidth="1"/>
    <col min="19" max="19" width="13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3">
      <c r="A2" s="1">
        <v>45293</v>
      </c>
      <c r="B2" t="s">
        <v>6</v>
      </c>
      <c r="C2" t="s">
        <v>7</v>
      </c>
      <c r="D2" t="s">
        <v>8</v>
      </c>
      <c r="E2">
        <v>9</v>
      </c>
      <c r="F2">
        <v>121131</v>
      </c>
    </row>
    <row r="3" spans="1:13" x14ac:dyDescent="0.3">
      <c r="A3" s="1">
        <v>45294</v>
      </c>
      <c r="B3" t="s">
        <v>9</v>
      </c>
      <c r="C3" t="s">
        <v>7</v>
      </c>
      <c r="D3" t="s">
        <v>10</v>
      </c>
      <c r="E3">
        <v>3</v>
      </c>
      <c r="F3">
        <v>23658</v>
      </c>
    </row>
    <row r="4" spans="1:13" x14ac:dyDescent="0.3">
      <c r="A4" s="1">
        <v>45295</v>
      </c>
      <c r="B4" t="s">
        <v>6</v>
      </c>
      <c r="C4" t="s">
        <v>11</v>
      </c>
      <c r="D4" t="s">
        <v>10</v>
      </c>
      <c r="E4">
        <v>10</v>
      </c>
      <c r="F4">
        <v>87650</v>
      </c>
    </row>
    <row r="5" spans="1:13" x14ac:dyDescent="0.3">
      <c r="A5" s="1">
        <v>45296</v>
      </c>
      <c r="B5" t="s">
        <v>9</v>
      </c>
      <c r="C5" t="s">
        <v>12</v>
      </c>
      <c r="D5" t="s">
        <v>13</v>
      </c>
      <c r="E5">
        <v>10</v>
      </c>
      <c r="F5">
        <v>171200</v>
      </c>
    </row>
    <row r="6" spans="1:13" x14ac:dyDescent="0.3">
      <c r="A6" s="1">
        <v>45297</v>
      </c>
      <c r="B6" t="s">
        <v>6</v>
      </c>
      <c r="C6" t="s">
        <v>14</v>
      </c>
      <c r="D6" t="s">
        <v>8</v>
      </c>
      <c r="E6">
        <v>9</v>
      </c>
      <c r="F6">
        <v>125280</v>
      </c>
    </row>
    <row r="7" spans="1:13" x14ac:dyDescent="0.3">
      <c r="A7" s="1">
        <v>45298</v>
      </c>
      <c r="B7" t="s">
        <v>15</v>
      </c>
      <c r="C7" t="s">
        <v>16</v>
      </c>
      <c r="D7" t="s">
        <v>17</v>
      </c>
      <c r="E7">
        <v>10</v>
      </c>
      <c r="F7">
        <v>65670</v>
      </c>
      <c r="I7" t="s">
        <v>22</v>
      </c>
      <c r="J7" t="s">
        <v>23</v>
      </c>
      <c r="K7" t="s">
        <v>24</v>
      </c>
      <c r="L7" t="s">
        <v>25</v>
      </c>
      <c r="M7" t="s">
        <v>26</v>
      </c>
    </row>
    <row r="8" spans="1:13" x14ac:dyDescent="0.3">
      <c r="A8" s="1">
        <v>45299</v>
      </c>
      <c r="B8" t="s">
        <v>9</v>
      </c>
      <c r="C8" t="s">
        <v>14</v>
      </c>
      <c r="D8" t="s">
        <v>18</v>
      </c>
      <c r="E8">
        <v>9</v>
      </c>
      <c r="F8">
        <v>172143</v>
      </c>
      <c r="I8" t="s">
        <v>27</v>
      </c>
      <c r="J8">
        <f>SUMIF(B:B,"NORTH",F:F)</f>
        <v>4501203</v>
      </c>
      <c r="K8">
        <f>SUMIF(B:B,"SOUTH",F:F)</f>
        <v>2856547</v>
      </c>
      <c r="L8">
        <f>SUMIF(B:B,"EAST",F:F)</f>
        <v>2948644</v>
      </c>
      <c r="M8">
        <f>SUMIF(B:B,"WEST",F:F)</f>
        <v>3458817</v>
      </c>
    </row>
    <row r="9" spans="1:13" x14ac:dyDescent="0.3">
      <c r="A9" s="1">
        <v>45300</v>
      </c>
      <c r="B9" t="s">
        <v>9</v>
      </c>
      <c r="C9" t="s">
        <v>12</v>
      </c>
      <c r="D9" t="s">
        <v>19</v>
      </c>
      <c r="E9">
        <v>6</v>
      </c>
      <c r="F9">
        <v>97098</v>
      </c>
      <c r="I9" t="s">
        <v>28</v>
      </c>
      <c r="J9">
        <f>SUMIF(B:B,"NORTH",F:F)</f>
        <v>4501203</v>
      </c>
      <c r="K9">
        <f>SUMIF(B:B,"SOUTH",F:F)</f>
        <v>2856547</v>
      </c>
      <c r="L9">
        <f>SUMIF(B:B,"EAST",F:F)</f>
        <v>2948644</v>
      </c>
      <c r="M9">
        <f>SUMIF(B:B,"WEST",F:F)</f>
        <v>3458817</v>
      </c>
    </row>
    <row r="10" spans="1:13" x14ac:dyDescent="0.3">
      <c r="A10" s="1">
        <v>45301</v>
      </c>
      <c r="B10" t="s">
        <v>20</v>
      </c>
      <c r="C10" t="s">
        <v>14</v>
      </c>
      <c r="D10" t="s">
        <v>13</v>
      </c>
      <c r="E10">
        <v>7</v>
      </c>
      <c r="F10">
        <v>74865</v>
      </c>
      <c r="I10" t="s">
        <v>29</v>
      </c>
      <c r="J10">
        <f>SUMIF(B:B,"NORTH",F:F)</f>
        <v>4501203</v>
      </c>
      <c r="K10">
        <f>SUMIF(B:B,"SOUTH",F:F)</f>
        <v>2856547</v>
      </c>
      <c r="L10">
        <f>SUMIF(B:B,"EAST",F:F)</f>
        <v>2948644</v>
      </c>
      <c r="M10">
        <f>SUMIF(B:B,"WEST",F:F)</f>
        <v>3458817</v>
      </c>
    </row>
    <row r="11" spans="1:13" x14ac:dyDescent="0.3">
      <c r="A11" s="1">
        <v>45302</v>
      </c>
      <c r="B11" t="s">
        <v>20</v>
      </c>
      <c r="C11" t="s">
        <v>7</v>
      </c>
      <c r="D11" t="s">
        <v>19</v>
      </c>
      <c r="E11">
        <v>10</v>
      </c>
      <c r="F11">
        <v>140590</v>
      </c>
      <c r="I11" t="s">
        <v>30</v>
      </c>
      <c r="J11">
        <f>SUMIF(B:B,"NORTH",F:F)</f>
        <v>4501203</v>
      </c>
      <c r="K11">
        <f>SUMIF(B:B,"SOUTH",F:F)</f>
        <v>2856547</v>
      </c>
      <c r="L11">
        <f>SUMIF(B:B,"EAST",F:F)</f>
        <v>2948644</v>
      </c>
      <c r="M11">
        <f>SUMIF(B:B,"WEST",F:F)</f>
        <v>3458817</v>
      </c>
    </row>
    <row r="12" spans="1:13" x14ac:dyDescent="0.3">
      <c r="A12" s="1">
        <v>45303</v>
      </c>
      <c r="B12" t="s">
        <v>9</v>
      </c>
      <c r="C12" t="s">
        <v>11</v>
      </c>
      <c r="D12" t="s">
        <v>17</v>
      </c>
      <c r="E12">
        <v>4</v>
      </c>
      <c r="F12">
        <v>66256</v>
      </c>
      <c r="I12" t="s">
        <v>31</v>
      </c>
      <c r="J12">
        <f>SUMIF(B:B,"NORTH",F:F)</f>
        <v>4501203</v>
      </c>
      <c r="K12">
        <f>SUMIF(B:B,"SOUTH",F:F)</f>
        <v>2856547</v>
      </c>
      <c r="L12">
        <f>SUMIF(B:B,"EAST",F:F)</f>
        <v>2948644</v>
      </c>
      <c r="M12">
        <f>SUMIF(B:B,"WEST",F:F)</f>
        <v>3458817</v>
      </c>
    </row>
    <row r="13" spans="1:13" x14ac:dyDescent="0.3">
      <c r="A13" s="1">
        <v>45304</v>
      </c>
      <c r="B13" t="s">
        <v>9</v>
      </c>
      <c r="C13" t="s">
        <v>16</v>
      </c>
      <c r="D13" t="s">
        <v>19</v>
      </c>
      <c r="E13">
        <v>2</v>
      </c>
      <c r="F13">
        <v>22558</v>
      </c>
    </row>
    <row r="14" spans="1:13" x14ac:dyDescent="0.3">
      <c r="A14" s="1">
        <v>45305</v>
      </c>
      <c r="B14" t="s">
        <v>20</v>
      </c>
      <c r="C14" t="s">
        <v>16</v>
      </c>
      <c r="D14" t="s">
        <v>8</v>
      </c>
      <c r="E14">
        <v>1</v>
      </c>
      <c r="F14">
        <v>5644</v>
      </c>
    </row>
    <row r="15" spans="1:13" x14ac:dyDescent="0.3">
      <c r="A15" s="1">
        <v>45306</v>
      </c>
      <c r="B15" t="s">
        <v>15</v>
      </c>
      <c r="C15" t="s">
        <v>12</v>
      </c>
      <c r="D15" t="s">
        <v>13</v>
      </c>
      <c r="E15">
        <v>3</v>
      </c>
      <c r="F15">
        <v>34236</v>
      </c>
    </row>
    <row r="16" spans="1:13" x14ac:dyDescent="0.3">
      <c r="A16" s="1">
        <v>45307</v>
      </c>
      <c r="B16" t="s">
        <v>15</v>
      </c>
      <c r="C16" t="s">
        <v>7</v>
      </c>
      <c r="D16" t="s">
        <v>18</v>
      </c>
      <c r="E16">
        <v>3</v>
      </c>
      <c r="F16">
        <v>23367</v>
      </c>
    </row>
    <row r="17" spans="1:6" x14ac:dyDescent="0.3">
      <c r="A17" s="1">
        <v>45308</v>
      </c>
      <c r="B17" t="s">
        <v>6</v>
      </c>
      <c r="C17" t="s">
        <v>14</v>
      </c>
      <c r="D17" t="s">
        <v>19</v>
      </c>
      <c r="E17">
        <v>9</v>
      </c>
      <c r="F17">
        <v>136818</v>
      </c>
    </row>
    <row r="18" spans="1:6" x14ac:dyDescent="0.3">
      <c r="A18" s="1">
        <v>45309</v>
      </c>
      <c r="B18" t="s">
        <v>20</v>
      </c>
      <c r="C18" t="s">
        <v>7</v>
      </c>
      <c r="D18" t="s">
        <v>13</v>
      </c>
      <c r="E18">
        <v>8</v>
      </c>
      <c r="F18">
        <v>112688</v>
      </c>
    </row>
    <row r="19" spans="1:6" x14ac:dyDescent="0.3">
      <c r="A19" s="1">
        <v>45310</v>
      </c>
      <c r="B19" t="s">
        <v>6</v>
      </c>
      <c r="C19" t="s">
        <v>12</v>
      </c>
      <c r="D19" t="s">
        <v>17</v>
      </c>
      <c r="E19">
        <v>1</v>
      </c>
      <c r="F19">
        <v>9616</v>
      </c>
    </row>
    <row r="20" spans="1:6" x14ac:dyDescent="0.3">
      <c r="A20" s="1">
        <v>45311</v>
      </c>
      <c r="B20" t="s">
        <v>9</v>
      </c>
      <c r="C20" t="s">
        <v>11</v>
      </c>
      <c r="D20" t="s">
        <v>13</v>
      </c>
      <c r="E20">
        <v>4</v>
      </c>
      <c r="F20">
        <v>29948</v>
      </c>
    </row>
    <row r="21" spans="1:6" x14ac:dyDescent="0.3">
      <c r="A21" s="1">
        <v>45312</v>
      </c>
      <c r="B21" t="s">
        <v>15</v>
      </c>
      <c r="C21" t="s">
        <v>16</v>
      </c>
      <c r="D21" t="s">
        <v>8</v>
      </c>
      <c r="E21">
        <v>4</v>
      </c>
      <c r="F21">
        <v>33468</v>
      </c>
    </row>
    <row r="22" spans="1:6" x14ac:dyDescent="0.3">
      <c r="A22" s="1">
        <v>45313</v>
      </c>
      <c r="B22" t="s">
        <v>6</v>
      </c>
      <c r="C22" t="s">
        <v>12</v>
      </c>
      <c r="D22" t="s">
        <v>18</v>
      </c>
      <c r="E22">
        <v>2</v>
      </c>
      <c r="F22">
        <v>29454</v>
      </c>
    </row>
    <row r="23" spans="1:6" x14ac:dyDescent="0.3">
      <c r="A23" s="1">
        <v>45314</v>
      </c>
      <c r="B23" t="s">
        <v>6</v>
      </c>
      <c r="C23" t="s">
        <v>16</v>
      </c>
      <c r="D23" t="s">
        <v>17</v>
      </c>
      <c r="E23">
        <v>2</v>
      </c>
      <c r="F23">
        <v>25772</v>
      </c>
    </row>
    <row r="24" spans="1:6" x14ac:dyDescent="0.3">
      <c r="A24" s="1">
        <v>45315</v>
      </c>
      <c r="B24" t="s">
        <v>6</v>
      </c>
      <c r="C24" t="s">
        <v>7</v>
      </c>
      <c r="D24" t="s">
        <v>19</v>
      </c>
      <c r="E24">
        <v>7</v>
      </c>
      <c r="F24">
        <v>74837</v>
      </c>
    </row>
    <row r="25" spans="1:6" x14ac:dyDescent="0.3">
      <c r="A25" s="1">
        <v>45316</v>
      </c>
      <c r="B25" t="s">
        <v>9</v>
      </c>
      <c r="C25" t="s">
        <v>14</v>
      </c>
      <c r="D25" t="s">
        <v>17</v>
      </c>
      <c r="E25">
        <v>7</v>
      </c>
      <c r="F25">
        <v>68383</v>
      </c>
    </row>
    <row r="26" spans="1:6" x14ac:dyDescent="0.3">
      <c r="A26" s="1">
        <v>45317</v>
      </c>
      <c r="B26" t="s">
        <v>15</v>
      </c>
      <c r="C26" t="s">
        <v>14</v>
      </c>
      <c r="D26" t="s">
        <v>19</v>
      </c>
      <c r="E26">
        <v>1</v>
      </c>
      <c r="F26">
        <v>17000</v>
      </c>
    </row>
    <row r="27" spans="1:6" x14ac:dyDescent="0.3">
      <c r="A27" s="1">
        <v>45318</v>
      </c>
      <c r="B27" t="s">
        <v>15</v>
      </c>
      <c r="C27" t="s">
        <v>16</v>
      </c>
      <c r="D27" t="s">
        <v>21</v>
      </c>
      <c r="E27">
        <v>6</v>
      </c>
      <c r="F27">
        <v>64992</v>
      </c>
    </row>
    <row r="28" spans="1:6" x14ac:dyDescent="0.3">
      <c r="A28" s="1">
        <v>45319</v>
      </c>
      <c r="B28" t="s">
        <v>20</v>
      </c>
      <c r="C28" t="s">
        <v>7</v>
      </c>
      <c r="D28" t="s">
        <v>18</v>
      </c>
      <c r="E28">
        <v>2</v>
      </c>
      <c r="F28">
        <v>27116</v>
      </c>
    </row>
    <row r="29" spans="1:6" x14ac:dyDescent="0.3">
      <c r="A29" s="1">
        <v>45320</v>
      </c>
      <c r="B29" t="s">
        <v>15</v>
      </c>
      <c r="C29" t="s">
        <v>14</v>
      </c>
      <c r="D29" t="s">
        <v>13</v>
      </c>
      <c r="E29">
        <v>6</v>
      </c>
      <c r="F29">
        <v>105204</v>
      </c>
    </row>
    <row r="30" spans="1:6" x14ac:dyDescent="0.3">
      <c r="A30" s="1">
        <v>45321</v>
      </c>
      <c r="B30" t="s">
        <v>15</v>
      </c>
      <c r="C30" t="s">
        <v>7</v>
      </c>
      <c r="D30" t="s">
        <v>17</v>
      </c>
      <c r="E30">
        <v>10</v>
      </c>
      <c r="F30">
        <v>153090</v>
      </c>
    </row>
    <row r="31" spans="1:6" x14ac:dyDescent="0.3">
      <c r="A31" s="1">
        <v>45322</v>
      </c>
      <c r="B31" t="s">
        <v>20</v>
      </c>
      <c r="C31" t="s">
        <v>16</v>
      </c>
      <c r="D31" t="s">
        <v>18</v>
      </c>
      <c r="E31">
        <v>9</v>
      </c>
      <c r="F31">
        <v>53649</v>
      </c>
    </row>
    <row r="32" spans="1:6" x14ac:dyDescent="0.3">
      <c r="A32" s="1">
        <v>45323</v>
      </c>
      <c r="B32" t="s">
        <v>6</v>
      </c>
      <c r="C32" t="s">
        <v>12</v>
      </c>
      <c r="D32" t="s">
        <v>13</v>
      </c>
      <c r="E32">
        <v>2</v>
      </c>
      <c r="F32">
        <v>22892</v>
      </c>
    </row>
    <row r="33" spans="1:6" x14ac:dyDescent="0.3">
      <c r="A33" s="1">
        <v>45324</v>
      </c>
      <c r="B33" t="s">
        <v>20</v>
      </c>
      <c r="C33" t="s">
        <v>7</v>
      </c>
      <c r="D33" t="s">
        <v>19</v>
      </c>
      <c r="E33">
        <v>9</v>
      </c>
      <c r="F33">
        <v>169236</v>
      </c>
    </row>
    <row r="34" spans="1:6" x14ac:dyDescent="0.3">
      <c r="A34" s="1">
        <v>45325</v>
      </c>
      <c r="B34" t="s">
        <v>6</v>
      </c>
      <c r="C34" t="s">
        <v>7</v>
      </c>
      <c r="D34" t="s">
        <v>19</v>
      </c>
      <c r="E34">
        <v>4</v>
      </c>
      <c r="F34">
        <v>28124</v>
      </c>
    </row>
    <row r="35" spans="1:6" x14ac:dyDescent="0.3">
      <c r="A35" s="1">
        <v>45326</v>
      </c>
      <c r="B35" t="s">
        <v>6</v>
      </c>
      <c r="C35" t="s">
        <v>7</v>
      </c>
      <c r="D35" t="s">
        <v>21</v>
      </c>
      <c r="E35">
        <v>1</v>
      </c>
      <c r="F35">
        <v>13891</v>
      </c>
    </row>
    <row r="36" spans="1:6" x14ac:dyDescent="0.3">
      <c r="A36" s="1">
        <v>45327</v>
      </c>
      <c r="B36" t="s">
        <v>20</v>
      </c>
      <c r="C36" t="s">
        <v>11</v>
      </c>
      <c r="D36" t="s">
        <v>10</v>
      </c>
      <c r="E36">
        <v>6</v>
      </c>
      <c r="F36">
        <v>57324</v>
      </c>
    </row>
    <row r="37" spans="1:6" x14ac:dyDescent="0.3">
      <c r="A37" s="1">
        <v>45328</v>
      </c>
      <c r="B37" t="s">
        <v>20</v>
      </c>
      <c r="C37" t="s">
        <v>11</v>
      </c>
      <c r="D37" t="s">
        <v>13</v>
      </c>
      <c r="E37">
        <v>7</v>
      </c>
      <c r="F37">
        <v>137347</v>
      </c>
    </row>
    <row r="38" spans="1:6" x14ac:dyDescent="0.3">
      <c r="A38" s="1">
        <v>45329</v>
      </c>
      <c r="B38" t="s">
        <v>20</v>
      </c>
      <c r="C38" t="s">
        <v>16</v>
      </c>
      <c r="D38" t="s">
        <v>13</v>
      </c>
      <c r="E38">
        <v>8</v>
      </c>
      <c r="F38">
        <v>150792</v>
      </c>
    </row>
    <row r="39" spans="1:6" x14ac:dyDescent="0.3">
      <c r="A39" s="1">
        <v>45330</v>
      </c>
      <c r="B39" t="s">
        <v>9</v>
      </c>
      <c r="C39" t="s">
        <v>7</v>
      </c>
      <c r="D39" t="s">
        <v>19</v>
      </c>
      <c r="E39">
        <v>9</v>
      </c>
      <c r="F39">
        <v>151803</v>
      </c>
    </row>
    <row r="40" spans="1:6" x14ac:dyDescent="0.3">
      <c r="A40" s="1">
        <v>45331</v>
      </c>
      <c r="B40" t="s">
        <v>15</v>
      </c>
      <c r="C40" t="s">
        <v>16</v>
      </c>
      <c r="D40" t="s">
        <v>18</v>
      </c>
      <c r="E40">
        <v>3</v>
      </c>
      <c r="F40">
        <v>36723</v>
      </c>
    </row>
    <row r="41" spans="1:6" x14ac:dyDescent="0.3">
      <c r="A41" s="1">
        <v>45332</v>
      </c>
      <c r="B41" t="s">
        <v>15</v>
      </c>
      <c r="C41" t="s">
        <v>11</v>
      </c>
      <c r="D41" t="s">
        <v>17</v>
      </c>
      <c r="E41">
        <v>10</v>
      </c>
      <c r="F41">
        <v>69930</v>
      </c>
    </row>
    <row r="42" spans="1:6" x14ac:dyDescent="0.3">
      <c r="A42" s="1">
        <v>45333</v>
      </c>
      <c r="B42" t="s">
        <v>20</v>
      </c>
      <c r="C42" t="s">
        <v>11</v>
      </c>
      <c r="D42" t="s">
        <v>13</v>
      </c>
      <c r="E42">
        <v>9</v>
      </c>
      <c r="F42">
        <v>90045</v>
      </c>
    </row>
    <row r="43" spans="1:6" x14ac:dyDescent="0.3">
      <c r="A43" s="1">
        <v>45334</v>
      </c>
      <c r="B43" t="s">
        <v>9</v>
      </c>
      <c r="C43" t="s">
        <v>12</v>
      </c>
      <c r="D43" t="s">
        <v>19</v>
      </c>
      <c r="E43">
        <v>1</v>
      </c>
      <c r="F43">
        <v>11918</v>
      </c>
    </row>
    <row r="44" spans="1:6" x14ac:dyDescent="0.3">
      <c r="A44" s="1">
        <v>45335</v>
      </c>
      <c r="B44" t="s">
        <v>20</v>
      </c>
      <c r="C44" t="s">
        <v>11</v>
      </c>
      <c r="D44" t="s">
        <v>18</v>
      </c>
      <c r="E44">
        <v>7</v>
      </c>
      <c r="F44">
        <v>95767</v>
      </c>
    </row>
    <row r="45" spans="1:6" x14ac:dyDescent="0.3">
      <c r="A45" s="1">
        <v>45336</v>
      </c>
      <c r="B45" t="s">
        <v>9</v>
      </c>
      <c r="C45" t="s">
        <v>16</v>
      </c>
      <c r="D45" t="s">
        <v>21</v>
      </c>
      <c r="E45">
        <v>8</v>
      </c>
      <c r="F45">
        <v>113160</v>
      </c>
    </row>
    <row r="46" spans="1:6" x14ac:dyDescent="0.3">
      <c r="A46" s="1">
        <v>45337</v>
      </c>
      <c r="B46" t="s">
        <v>15</v>
      </c>
      <c r="C46" t="s">
        <v>7</v>
      </c>
      <c r="D46" t="s">
        <v>21</v>
      </c>
      <c r="E46">
        <v>2</v>
      </c>
      <c r="F46">
        <v>14692</v>
      </c>
    </row>
    <row r="47" spans="1:6" x14ac:dyDescent="0.3">
      <c r="A47" s="1">
        <v>45338</v>
      </c>
      <c r="B47" t="s">
        <v>15</v>
      </c>
      <c r="C47" t="s">
        <v>12</v>
      </c>
      <c r="D47" t="s">
        <v>17</v>
      </c>
      <c r="E47">
        <v>8</v>
      </c>
      <c r="F47">
        <v>108328</v>
      </c>
    </row>
    <row r="48" spans="1:6" x14ac:dyDescent="0.3">
      <c r="A48" s="1">
        <v>45339</v>
      </c>
      <c r="B48" t="s">
        <v>20</v>
      </c>
      <c r="C48" t="s">
        <v>16</v>
      </c>
      <c r="D48" t="s">
        <v>18</v>
      </c>
      <c r="E48">
        <v>3</v>
      </c>
      <c r="F48">
        <v>37794</v>
      </c>
    </row>
    <row r="49" spans="1:6" x14ac:dyDescent="0.3">
      <c r="A49" s="1">
        <v>45340</v>
      </c>
      <c r="B49" t="s">
        <v>15</v>
      </c>
      <c r="C49" t="s">
        <v>7</v>
      </c>
      <c r="D49" t="s">
        <v>13</v>
      </c>
      <c r="E49">
        <v>2</v>
      </c>
      <c r="F49">
        <v>10850</v>
      </c>
    </row>
    <row r="50" spans="1:6" x14ac:dyDescent="0.3">
      <c r="A50" s="1">
        <v>45341</v>
      </c>
      <c r="B50" t="s">
        <v>6</v>
      </c>
      <c r="C50" t="s">
        <v>7</v>
      </c>
      <c r="D50" t="s">
        <v>19</v>
      </c>
      <c r="E50">
        <v>9</v>
      </c>
      <c r="F50">
        <v>118800</v>
      </c>
    </row>
    <row r="51" spans="1:6" x14ac:dyDescent="0.3">
      <c r="A51" s="1">
        <v>45342</v>
      </c>
      <c r="B51" t="s">
        <v>20</v>
      </c>
      <c r="C51" t="s">
        <v>16</v>
      </c>
      <c r="D51" t="s">
        <v>10</v>
      </c>
      <c r="E51">
        <v>5</v>
      </c>
      <c r="F51">
        <v>70680</v>
      </c>
    </row>
    <row r="52" spans="1:6" x14ac:dyDescent="0.3">
      <c r="A52" s="1">
        <v>45343</v>
      </c>
      <c r="B52" t="s">
        <v>6</v>
      </c>
      <c r="C52" t="s">
        <v>7</v>
      </c>
      <c r="D52" t="s">
        <v>21</v>
      </c>
      <c r="E52">
        <v>3</v>
      </c>
      <c r="F52">
        <v>23838</v>
      </c>
    </row>
    <row r="53" spans="1:6" x14ac:dyDescent="0.3">
      <c r="A53" s="1">
        <v>45344</v>
      </c>
      <c r="B53" t="s">
        <v>6</v>
      </c>
      <c r="C53" t="s">
        <v>12</v>
      </c>
      <c r="D53" t="s">
        <v>17</v>
      </c>
      <c r="E53">
        <v>9</v>
      </c>
      <c r="F53">
        <v>153954</v>
      </c>
    </row>
    <row r="54" spans="1:6" x14ac:dyDescent="0.3">
      <c r="A54" s="1">
        <v>45345</v>
      </c>
      <c r="B54" t="s">
        <v>6</v>
      </c>
      <c r="C54" t="s">
        <v>12</v>
      </c>
      <c r="D54" t="s">
        <v>10</v>
      </c>
      <c r="E54">
        <v>7</v>
      </c>
      <c r="F54">
        <v>53634</v>
      </c>
    </row>
    <row r="55" spans="1:6" x14ac:dyDescent="0.3">
      <c r="A55" s="1">
        <v>45346</v>
      </c>
      <c r="B55" t="s">
        <v>9</v>
      </c>
      <c r="C55" t="s">
        <v>11</v>
      </c>
      <c r="D55" t="s">
        <v>17</v>
      </c>
      <c r="E55">
        <v>1</v>
      </c>
      <c r="F55">
        <v>9300</v>
      </c>
    </row>
    <row r="56" spans="1:6" x14ac:dyDescent="0.3">
      <c r="A56" s="1">
        <v>45347</v>
      </c>
      <c r="B56" t="s">
        <v>6</v>
      </c>
      <c r="C56" t="s">
        <v>7</v>
      </c>
      <c r="D56" t="s">
        <v>21</v>
      </c>
      <c r="E56">
        <v>4</v>
      </c>
      <c r="F56">
        <v>67328</v>
      </c>
    </row>
    <row r="57" spans="1:6" x14ac:dyDescent="0.3">
      <c r="A57" s="1">
        <v>45348</v>
      </c>
      <c r="B57" t="s">
        <v>20</v>
      </c>
      <c r="C57" t="s">
        <v>16</v>
      </c>
      <c r="D57" t="s">
        <v>17</v>
      </c>
      <c r="E57">
        <v>2</v>
      </c>
      <c r="F57">
        <v>10366</v>
      </c>
    </row>
    <row r="58" spans="1:6" x14ac:dyDescent="0.3">
      <c r="A58" s="1">
        <v>45349</v>
      </c>
      <c r="B58" t="s">
        <v>20</v>
      </c>
      <c r="C58" t="s">
        <v>12</v>
      </c>
      <c r="D58" t="s">
        <v>21</v>
      </c>
      <c r="E58">
        <v>5</v>
      </c>
      <c r="F58">
        <v>65370</v>
      </c>
    </row>
    <row r="59" spans="1:6" x14ac:dyDescent="0.3">
      <c r="A59" s="1">
        <v>45350</v>
      </c>
      <c r="B59" t="s">
        <v>6</v>
      </c>
      <c r="C59" t="s">
        <v>16</v>
      </c>
      <c r="D59" t="s">
        <v>8</v>
      </c>
      <c r="E59">
        <v>2</v>
      </c>
      <c r="F59">
        <v>15728</v>
      </c>
    </row>
    <row r="60" spans="1:6" x14ac:dyDescent="0.3">
      <c r="A60" s="1">
        <v>45351</v>
      </c>
      <c r="B60" t="s">
        <v>9</v>
      </c>
      <c r="C60" t="s">
        <v>14</v>
      </c>
      <c r="D60" t="s">
        <v>13</v>
      </c>
      <c r="E60">
        <v>7</v>
      </c>
      <c r="F60">
        <v>69538</v>
      </c>
    </row>
    <row r="61" spans="1:6" x14ac:dyDescent="0.3">
      <c r="A61" s="1">
        <v>45352</v>
      </c>
      <c r="B61" t="s">
        <v>6</v>
      </c>
      <c r="C61" t="s">
        <v>7</v>
      </c>
      <c r="D61" t="s">
        <v>17</v>
      </c>
      <c r="E61">
        <v>9</v>
      </c>
      <c r="F61">
        <v>127827</v>
      </c>
    </row>
    <row r="62" spans="1:6" x14ac:dyDescent="0.3">
      <c r="A62" s="1">
        <v>45353</v>
      </c>
      <c r="B62" t="s">
        <v>9</v>
      </c>
      <c r="C62" t="s">
        <v>7</v>
      </c>
      <c r="D62" t="s">
        <v>10</v>
      </c>
      <c r="E62">
        <v>2</v>
      </c>
      <c r="F62">
        <v>34856</v>
      </c>
    </row>
    <row r="63" spans="1:6" x14ac:dyDescent="0.3">
      <c r="A63" s="1">
        <v>45354</v>
      </c>
      <c r="B63" t="s">
        <v>6</v>
      </c>
      <c r="C63" t="s">
        <v>7</v>
      </c>
      <c r="D63" t="s">
        <v>13</v>
      </c>
      <c r="E63">
        <v>7</v>
      </c>
      <c r="F63">
        <v>137137</v>
      </c>
    </row>
    <row r="64" spans="1:6" x14ac:dyDescent="0.3">
      <c r="A64" s="1">
        <v>45355</v>
      </c>
      <c r="B64" t="s">
        <v>9</v>
      </c>
      <c r="C64" t="s">
        <v>16</v>
      </c>
      <c r="D64" t="s">
        <v>8</v>
      </c>
      <c r="E64">
        <v>5</v>
      </c>
      <c r="F64">
        <v>64990</v>
      </c>
    </row>
    <row r="65" spans="1:6" x14ac:dyDescent="0.3">
      <c r="A65" s="1">
        <v>45356</v>
      </c>
      <c r="B65" t="s">
        <v>20</v>
      </c>
      <c r="C65" t="s">
        <v>7</v>
      </c>
      <c r="D65" t="s">
        <v>17</v>
      </c>
      <c r="E65">
        <v>1</v>
      </c>
      <c r="F65">
        <v>12585</v>
      </c>
    </row>
    <row r="66" spans="1:6" x14ac:dyDescent="0.3">
      <c r="A66" s="1">
        <v>45357</v>
      </c>
      <c r="B66" t="s">
        <v>20</v>
      </c>
      <c r="C66" t="s">
        <v>12</v>
      </c>
      <c r="D66" t="s">
        <v>17</v>
      </c>
      <c r="E66">
        <v>2</v>
      </c>
      <c r="F66">
        <v>27944</v>
      </c>
    </row>
    <row r="67" spans="1:6" x14ac:dyDescent="0.3">
      <c r="A67" s="1">
        <v>45358</v>
      </c>
      <c r="B67" t="s">
        <v>20</v>
      </c>
      <c r="C67" t="s">
        <v>16</v>
      </c>
      <c r="D67" t="s">
        <v>17</v>
      </c>
      <c r="E67">
        <v>5</v>
      </c>
      <c r="F67">
        <v>37930</v>
      </c>
    </row>
    <row r="68" spans="1:6" x14ac:dyDescent="0.3">
      <c r="A68" s="1">
        <v>45359</v>
      </c>
      <c r="B68" t="s">
        <v>20</v>
      </c>
      <c r="C68" t="s">
        <v>14</v>
      </c>
      <c r="D68" t="s">
        <v>18</v>
      </c>
      <c r="E68">
        <v>7</v>
      </c>
      <c r="F68">
        <v>59213</v>
      </c>
    </row>
    <row r="69" spans="1:6" x14ac:dyDescent="0.3">
      <c r="A69" s="1">
        <v>45360</v>
      </c>
      <c r="B69" t="s">
        <v>6</v>
      </c>
      <c r="C69" t="s">
        <v>12</v>
      </c>
      <c r="D69" t="s">
        <v>21</v>
      </c>
      <c r="E69">
        <v>1</v>
      </c>
      <c r="F69">
        <v>8864</v>
      </c>
    </row>
    <row r="70" spans="1:6" x14ac:dyDescent="0.3">
      <c r="A70" s="1">
        <v>45361</v>
      </c>
      <c r="B70" t="s">
        <v>15</v>
      </c>
      <c r="C70" t="s">
        <v>14</v>
      </c>
      <c r="D70" t="s">
        <v>8</v>
      </c>
      <c r="E70">
        <v>9</v>
      </c>
      <c r="F70">
        <v>135441</v>
      </c>
    </row>
    <row r="71" spans="1:6" x14ac:dyDescent="0.3">
      <c r="A71" s="1">
        <v>45362</v>
      </c>
      <c r="B71" t="s">
        <v>15</v>
      </c>
      <c r="C71" t="s">
        <v>16</v>
      </c>
      <c r="D71" t="s">
        <v>13</v>
      </c>
      <c r="E71">
        <v>9</v>
      </c>
      <c r="F71">
        <v>120708</v>
      </c>
    </row>
    <row r="72" spans="1:6" x14ac:dyDescent="0.3">
      <c r="A72" s="1">
        <v>45363</v>
      </c>
      <c r="B72" t="s">
        <v>20</v>
      </c>
      <c r="C72" t="s">
        <v>12</v>
      </c>
      <c r="D72" t="s">
        <v>13</v>
      </c>
      <c r="E72">
        <v>4</v>
      </c>
      <c r="F72">
        <v>30372</v>
      </c>
    </row>
    <row r="73" spans="1:6" x14ac:dyDescent="0.3">
      <c r="A73" s="1">
        <v>45364</v>
      </c>
      <c r="B73" t="s">
        <v>6</v>
      </c>
      <c r="C73" t="s">
        <v>11</v>
      </c>
      <c r="D73" t="s">
        <v>21</v>
      </c>
      <c r="E73">
        <v>8</v>
      </c>
      <c r="F73">
        <v>133232</v>
      </c>
    </row>
    <row r="74" spans="1:6" x14ac:dyDescent="0.3">
      <c r="A74" s="1">
        <v>45365</v>
      </c>
      <c r="B74" t="s">
        <v>20</v>
      </c>
      <c r="C74" t="s">
        <v>7</v>
      </c>
      <c r="D74" t="s">
        <v>17</v>
      </c>
      <c r="E74">
        <v>5</v>
      </c>
      <c r="F74">
        <v>85720</v>
      </c>
    </row>
    <row r="75" spans="1:6" x14ac:dyDescent="0.3">
      <c r="A75" s="1">
        <v>45366</v>
      </c>
      <c r="B75" t="s">
        <v>9</v>
      </c>
      <c r="C75" t="s">
        <v>16</v>
      </c>
      <c r="D75" t="s">
        <v>13</v>
      </c>
      <c r="E75">
        <v>8</v>
      </c>
      <c r="F75">
        <v>53656</v>
      </c>
    </row>
    <row r="76" spans="1:6" x14ac:dyDescent="0.3">
      <c r="A76" s="1">
        <v>45367</v>
      </c>
      <c r="B76" t="s">
        <v>20</v>
      </c>
      <c r="C76" t="s">
        <v>12</v>
      </c>
      <c r="D76" t="s">
        <v>21</v>
      </c>
      <c r="E76">
        <v>9</v>
      </c>
      <c r="F76">
        <v>83916</v>
      </c>
    </row>
    <row r="77" spans="1:6" x14ac:dyDescent="0.3">
      <c r="A77" s="1">
        <v>45368</v>
      </c>
      <c r="B77" t="s">
        <v>15</v>
      </c>
      <c r="C77" t="s">
        <v>7</v>
      </c>
      <c r="D77" t="s">
        <v>18</v>
      </c>
      <c r="E77">
        <v>4</v>
      </c>
      <c r="F77">
        <v>30624</v>
      </c>
    </row>
    <row r="78" spans="1:6" x14ac:dyDescent="0.3">
      <c r="A78" s="1">
        <v>45369</v>
      </c>
      <c r="B78" t="s">
        <v>20</v>
      </c>
      <c r="C78" t="s">
        <v>11</v>
      </c>
      <c r="D78" t="s">
        <v>17</v>
      </c>
      <c r="E78">
        <v>6</v>
      </c>
      <c r="F78">
        <v>74982</v>
      </c>
    </row>
    <row r="79" spans="1:6" x14ac:dyDescent="0.3">
      <c r="A79" s="1">
        <v>45370</v>
      </c>
      <c r="B79" t="s">
        <v>9</v>
      </c>
      <c r="C79" t="s">
        <v>16</v>
      </c>
      <c r="D79" t="s">
        <v>13</v>
      </c>
      <c r="E79">
        <v>9</v>
      </c>
      <c r="F79">
        <v>103230</v>
      </c>
    </row>
    <row r="80" spans="1:6" x14ac:dyDescent="0.3">
      <c r="A80" s="1">
        <v>45371</v>
      </c>
      <c r="B80" t="s">
        <v>6</v>
      </c>
      <c r="C80" t="s">
        <v>12</v>
      </c>
      <c r="D80" t="s">
        <v>17</v>
      </c>
      <c r="E80">
        <v>5</v>
      </c>
      <c r="F80">
        <v>88995</v>
      </c>
    </row>
    <row r="81" spans="1:6" x14ac:dyDescent="0.3">
      <c r="A81" s="1">
        <v>45372</v>
      </c>
      <c r="B81" t="s">
        <v>15</v>
      </c>
      <c r="C81" t="s">
        <v>16</v>
      </c>
      <c r="D81" t="s">
        <v>21</v>
      </c>
      <c r="E81">
        <v>5</v>
      </c>
      <c r="F81">
        <v>84340</v>
      </c>
    </row>
    <row r="82" spans="1:6" x14ac:dyDescent="0.3">
      <c r="A82" s="1">
        <v>45373</v>
      </c>
      <c r="B82" t="s">
        <v>6</v>
      </c>
      <c r="C82" t="s">
        <v>7</v>
      </c>
      <c r="D82" t="s">
        <v>19</v>
      </c>
      <c r="E82">
        <v>3</v>
      </c>
      <c r="F82">
        <v>17748</v>
      </c>
    </row>
    <row r="83" spans="1:6" x14ac:dyDescent="0.3">
      <c r="A83" s="1">
        <v>45374</v>
      </c>
      <c r="B83" t="s">
        <v>20</v>
      </c>
      <c r="C83" t="s">
        <v>7</v>
      </c>
      <c r="D83" t="s">
        <v>13</v>
      </c>
      <c r="E83">
        <v>7</v>
      </c>
      <c r="F83">
        <v>85939</v>
      </c>
    </row>
    <row r="84" spans="1:6" x14ac:dyDescent="0.3">
      <c r="A84" s="1">
        <v>45375</v>
      </c>
      <c r="B84" t="s">
        <v>9</v>
      </c>
      <c r="C84" t="s">
        <v>16</v>
      </c>
      <c r="D84" t="s">
        <v>13</v>
      </c>
      <c r="E84">
        <v>8</v>
      </c>
      <c r="F84">
        <v>53584</v>
      </c>
    </row>
    <row r="85" spans="1:6" x14ac:dyDescent="0.3">
      <c r="A85" s="1">
        <v>45376</v>
      </c>
      <c r="B85" t="s">
        <v>9</v>
      </c>
      <c r="C85" t="s">
        <v>16</v>
      </c>
      <c r="D85" t="s">
        <v>19</v>
      </c>
      <c r="E85">
        <v>3</v>
      </c>
      <c r="F85">
        <v>44262</v>
      </c>
    </row>
    <row r="86" spans="1:6" x14ac:dyDescent="0.3">
      <c r="A86" s="1">
        <v>45377</v>
      </c>
      <c r="B86" t="s">
        <v>6</v>
      </c>
      <c r="C86" t="s">
        <v>11</v>
      </c>
      <c r="D86" t="s">
        <v>19</v>
      </c>
      <c r="E86">
        <v>5</v>
      </c>
      <c r="F86">
        <v>73055</v>
      </c>
    </row>
    <row r="87" spans="1:6" x14ac:dyDescent="0.3">
      <c r="A87" s="1">
        <v>45378</v>
      </c>
      <c r="B87" t="s">
        <v>6</v>
      </c>
      <c r="C87" t="s">
        <v>11</v>
      </c>
      <c r="D87" t="s">
        <v>18</v>
      </c>
      <c r="E87">
        <v>6</v>
      </c>
      <c r="F87">
        <v>82410</v>
      </c>
    </row>
    <row r="88" spans="1:6" x14ac:dyDescent="0.3">
      <c r="A88" s="1">
        <v>45379</v>
      </c>
      <c r="B88" t="s">
        <v>20</v>
      </c>
      <c r="C88" t="s">
        <v>7</v>
      </c>
      <c r="D88" t="s">
        <v>17</v>
      </c>
      <c r="E88">
        <v>9</v>
      </c>
      <c r="F88">
        <v>52092</v>
      </c>
    </row>
    <row r="89" spans="1:6" x14ac:dyDescent="0.3">
      <c r="A89" s="1">
        <v>45380</v>
      </c>
      <c r="B89" t="s">
        <v>15</v>
      </c>
      <c r="C89" t="s">
        <v>7</v>
      </c>
      <c r="D89" t="s">
        <v>13</v>
      </c>
      <c r="E89">
        <v>8</v>
      </c>
      <c r="F89">
        <v>123104</v>
      </c>
    </row>
    <row r="90" spans="1:6" x14ac:dyDescent="0.3">
      <c r="A90" s="1">
        <v>45381</v>
      </c>
      <c r="B90" t="s">
        <v>20</v>
      </c>
      <c r="C90" t="s">
        <v>14</v>
      </c>
      <c r="D90" t="s">
        <v>17</v>
      </c>
      <c r="E90">
        <v>4</v>
      </c>
      <c r="F90">
        <v>63128</v>
      </c>
    </row>
    <row r="91" spans="1:6" x14ac:dyDescent="0.3">
      <c r="A91" s="1">
        <v>45382</v>
      </c>
      <c r="B91" t="s">
        <v>9</v>
      </c>
      <c r="C91" t="s">
        <v>16</v>
      </c>
      <c r="D91" t="s">
        <v>17</v>
      </c>
      <c r="E91">
        <v>9</v>
      </c>
      <c r="F91">
        <v>117108</v>
      </c>
    </row>
    <row r="92" spans="1:6" x14ac:dyDescent="0.3">
      <c r="A92" s="1">
        <v>45383</v>
      </c>
      <c r="B92" t="s">
        <v>15</v>
      </c>
      <c r="C92" t="s">
        <v>11</v>
      </c>
      <c r="D92" t="s">
        <v>21</v>
      </c>
      <c r="E92">
        <v>4</v>
      </c>
      <c r="F92">
        <v>59456</v>
      </c>
    </row>
    <row r="93" spans="1:6" x14ac:dyDescent="0.3">
      <c r="A93" s="1">
        <v>45384</v>
      </c>
      <c r="B93" t="s">
        <v>15</v>
      </c>
      <c r="C93" t="s">
        <v>11</v>
      </c>
      <c r="D93" t="s">
        <v>19</v>
      </c>
      <c r="E93">
        <v>7</v>
      </c>
      <c r="F93">
        <v>77105</v>
      </c>
    </row>
    <row r="94" spans="1:6" x14ac:dyDescent="0.3">
      <c r="A94" s="1">
        <v>45385</v>
      </c>
      <c r="B94" t="s">
        <v>6</v>
      </c>
      <c r="C94" t="s">
        <v>16</v>
      </c>
      <c r="D94" t="s">
        <v>19</v>
      </c>
      <c r="E94">
        <v>7</v>
      </c>
      <c r="F94">
        <v>91322</v>
      </c>
    </row>
    <row r="95" spans="1:6" x14ac:dyDescent="0.3">
      <c r="A95" s="1">
        <v>45386</v>
      </c>
      <c r="B95" t="s">
        <v>15</v>
      </c>
      <c r="C95" t="s">
        <v>14</v>
      </c>
      <c r="D95" t="s">
        <v>8</v>
      </c>
      <c r="E95">
        <v>2</v>
      </c>
      <c r="F95">
        <v>29422</v>
      </c>
    </row>
    <row r="96" spans="1:6" x14ac:dyDescent="0.3">
      <c r="A96" s="1">
        <v>45387</v>
      </c>
      <c r="B96" t="s">
        <v>15</v>
      </c>
      <c r="C96" t="s">
        <v>7</v>
      </c>
      <c r="D96" t="s">
        <v>17</v>
      </c>
      <c r="E96">
        <v>1</v>
      </c>
      <c r="F96">
        <v>6075</v>
      </c>
    </row>
    <row r="97" spans="1:6" x14ac:dyDescent="0.3">
      <c r="A97" s="1">
        <v>45388</v>
      </c>
      <c r="B97" t="s">
        <v>15</v>
      </c>
      <c r="C97" t="s">
        <v>11</v>
      </c>
      <c r="D97" t="s">
        <v>21</v>
      </c>
      <c r="E97">
        <v>9</v>
      </c>
      <c r="F97">
        <v>56799</v>
      </c>
    </row>
    <row r="98" spans="1:6" x14ac:dyDescent="0.3">
      <c r="A98" s="1">
        <v>45389</v>
      </c>
      <c r="B98" t="s">
        <v>20</v>
      </c>
      <c r="C98" t="s">
        <v>12</v>
      </c>
      <c r="D98" t="s">
        <v>17</v>
      </c>
      <c r="E98">
        <v>2</v>
      </c>
      <c r="F98">
        <v>20222</v>
      </c>
    </row>
    <row r="99" spans="1:6" x14ac:dyDescent="0.3">
      <c r="A99" s="1">
        <v>45390</v>
      </c>
      <c r="B99" t="s">
        <v>9</v>
      </c>
      <c r="C99" t="s">
        <v>11</v>
      </c>
      <c r="D99" t="s">
        <v>10</v>
      </c>
      <c r="E99">
        <v>8</v>
      </c>
      <c r="F99">
        <v>78880</v>
      </c>
    </row>
    <row r="100" spans="1:6" x14ac:dyDescent="0.3">
      <c r="A100" s="1">
        <v>45391</v>
      </c>
      <c r="B100" t="s">
        <v>20</v>
      </c>
      <c r="C100" t="s">
        <v>12</v>
      </c>
      <c r="D100" t="s">
        <v>19</v>
      </c>
      <c r="E100">
        <v>5</v>
      </c>
      <c r="F100">
        <v>44115</v>
      </c>
    </row>
    <row r="101" spans="1:6" x14ac:dyDescent="0.3">
      <c r="A101" s="1">
        <v>45392</v>
      </c>
      <c r="B101" t="s">
        <v>6</v>
      </c>
      <c r="C101" t="s">
        <v>11</v>
      </c>
      <c r="D101" t="s">
        <v>17</v>
      </c>
      <c r="E101">
        <v>9</v>
      </c>
      <c r="F101">
        <v>167373</v>
      </c>
    </row>
    <row r="102" spans="1:6" x14ac:dyDescent="0.3">
      <c r="A102" s="1">
        <v>45393</v>
      </c>
      <c r="B102" t="s">
        <v>9</v>
      </c>
      <c r="C102" t="s">
        <v>14</v>
      </c>
      <c r="D102" t="s">
        <v>8</v>
      </c>
      <c r="E102">
        <v>2</v>
      </c>
      <c r="F102">
        <v>31804</v>
      </c>
    </row>
    <row r="103" spans="1:6" x14ac:dyDescent="0.3">
      <c r="A103" s="1">
        <v>45394</v>
      </c>
      <c r="B103" t="s">
        <v>6</v>
      </c>
      <c r="C103" t="s">
        <v>16</v>
      </c>
      <c r="D103" t="s">
        <v>8</v>
      </c>
      <c r="E103">
        <v>3</v>
      </c>
      <c r="F103">
        <v>49275</v>
      </c>
    </row>
    <row r="104" spans="1:6" x14ac:dyDescent="0.3">
      <c r="A104" s="1">
        <v>45395</v>
      </c>
      <c r="B104" t="s">
        <v>9</v>
      </c>
      <c r="C104" t="s">
        <v>14</v>
      </c>
      <c r="D104" t="s">
        <v>13</v>
      </c>
      <c r="E104">
        <v>3</v>
      </c>
      <c r="F104">
        <v>43242</v>
      </c>
    </row>
    <row r="105" spans="1:6" x14ac:dyDescent="0.3">
      <c r="A105" s="1">
        <v>45396</v>
      </c>
      <c r="B105" t="s">
        <v>20</v>
      </c>
      <c r="C105" t="s">
        <v>14</v>
      </c>
      <c r="D105" t="s">
        <v>21</v>
      </c>
      <c r="E105">
        <v>3</v>
      </c>
      <c r="F105">
        <v>40089</v>
      </c>
    </row>
    <row r="106" spans="1:6" x14ac:dyDescent="0.3">
      <c r="A106" s="1">
        <v>45397</v>
      </c>
      <c r="B106" t="s">
        <v>9</v>
      </c>
      <c r="C106" t="s">
        <v>16</v>
      </c>
      <c r="D106" t="s">
        <v>21</v>
      </c>
      <c r="E106">
        <v>1</v>
      </c>
      <c r="F106">
        <v>8732</v>
      </c>
    </row>
    <row r="107" spans="1:6" x14ac:dyDescent="0.3">
      <c r="A107" s="1">
        <v>45398</v>
      </c>
      <c r="B107" t="s">
        <v>20</v>
      </c>
      <c r="C107" t="s">
        <v>16</v>
      </c>
      <c r="D107" t="s">
        <v>21</v>
      </c>
      <c r="E107">
        <v>9</v>
      </c>
      <c r="F107">
        <v>121725</v>
      </c>
    </row>
    <row r="108" spans="1:6" x14ac:dyDescent="0.3">
      <c r="A108" s="1">
        <v>45399</v>
      </c>
      <c r="B108" t="s">
        <v>15</v>
      </c>
      <c r="C108" t="s">
        <v>7</v>
      </c>
      <c r="D108" t="s">
        <v>10</v>
      </c>
      <c r="E108">
        <v>10</v>
      </c>
      <c r="F108">
        <v>162180</v>
      </c>
    </row>
    <row r="109" spans="1:6" x14ac:dyDescent="0.3">
      <c r="A109" s="1">
        <v>45400</v>
      </c>
      <c r="B109" t="s">
        <v>6</v>
      </c>
      <c r="C109" t="s">
        <v>16</v>
      </c>
      <c r="D109" t="s">
        <v>13</v>
      </c>
      <c r="E109">
        <v>10</v>
      </c>
      <c r="F109">
        <v>178000</v>
      </c>
    </row>
    <row r="110" spans="1:6" x14ac:dyDescent="0.3">
      <c r="A110" s="1">
        <v>45401</v>
      </c>
      <c r="B110" t="s">
        <v>9</v>
      </c>
      <c r="C110" t="s">
        <v>14</v>
      </c>
      <c r="D110" t="s">
        <v>18</v>
      </c>
      <c r="E110">
        <v>1</v>
      </c>
      <c r="F110">
        <v>6919</v>
      </c>
    </row>
    <row r="111" spans="1:6" x14ac:dyDescent="0.3">
      <c r="A111" s="1">
        <v>45402</v>
      </c>
      <c r="B111" t="s">
        <v>6</v>
      </c>
      <c r="C111" t="s">
        <v>12</v>
      </c>
      <c r="D111" t="s">
        <v>8</v>
      </c>
      <c r="E111">
        <v>1</v>
      </c>
      <c r="F111">
        <v>11964</v>
      </c>
    </row>
    <row r="112" spans="1:6" x14ac:dyDescent="0.3">
      <c r="A112" s="1">
        <v>45403</v>
      </c>
      <c r="B112" t="s">
        <v>6</v>
      </c>
      <c r="C112" t="s">
        <v>16</v>
      </c>
      <c r="D112" t="s">
        <v>18</v>
      </c>
      <c r="E112">
        <v>8</v>
      </c>
      <c r="F112">
        <v>106976</v>
      </c>
    </row>
    <row r="113" spans="1:6" x14ac:dyDescent="0.3">
      <c r="A113" s="1">
        <v>45404</v>
      </c>
      <c r="B113" t="s">
        <v>20</v>
      </c>
      <c r="C113" t="s">
        <v>16</v>
      </c>
      <c r="D113" t="s">
        <v>10</v>
      </c>
      <c r="E113">
        <v>6</v>
      </c>
      <c r="F113">
        <v>75942</v>
      </c>
    </row>
    <row r="114" spans="1:6" x14ac:dyDescent="0.3">
      <c r="A114" s="1">
        <v>45405</v>
      </c>
      <c r="B114" t="s">
        <v>20</v>
      </c>
      <c r="C114" t="s">
        <v>11</v>
      </c>
      <c r="D114" t="s">
        <v>18</v>
      </c>
      <c r="E114">
        <v>5</v>
      </c>
      <c r="F114">
        <v>71580</v>
      </c>
    </row>
    <row r="115" spans="1:6" x14ac:dyDescent="0.3">
      <c r="A115" s="1">
        <v>45406</v>
      </c>
      <c r="B115" t="s">
        <v>15</v>
      </c>
      <c r="C115" t="s">
        <v>16</v>
      </c>
      <c r="D115" t="s">
        <v>8</v>
      </c>
      <c r="E115">
        <v>9</v>
      </c>
      <c r="F115">
        <v>94365</v>
      </c>
    </row>
    <row r="116" spans="1:6" x14ac:dyDescent="0.3">
      <c r="A116" s="1">
        <v>45407</v>
      </c>
      <c r="B116" t="s">
        <v>9</v>
      </c>
      <c r="C116" t="s">
        <v>11</v>
      </c>
      <c r="D116" t="s">
        <v>13</v>
      </c>
      <c r="E116">
        <v>2</v>
      </c>
      <c r="F116">
        <v>27654</v>
      </c>
    </row>
    <row r="117" spans="1:6" x14ac:dyDescent="0.3">
      <c r="A117" s="1">
        <v>45408</v>
      </c>
      <c r="B117" t="s">
        <v>15</v>
      </c>
      <c r="C117" t="s">
        <v>7</v>
      </c>
      <c r="D117" t="s">
        <v>21</v>
      </c>
      <c r="E117">
        <v>8</v>
      </c>
      <c r="F117">
        <v>124528</v>
      </c>
    </row>
    <row r="118" spans="1:6" x14ac:dyDescent="0.3">
      <c r="A118" s="1">
        <v>45409</v>
      </c>
      <c r="B118" t="s">
        <v>9</v>
      </c>
      <c r="C118" t="s">
        <v>14</v>
      </c>
      <c r="D118" t="s">
        <v>21</v>
      </c>
      <c r="E118">
        <v>1</v>
      </c>
      <c r="F118">
        <v>5331</v>
      </c>
    </row>
    <row r="119" spans="1:6" x14ac:dyDescent="0.3">
      <c r="A119" s="1">
        <v>45410</v>
      </c>
      <c r="B119" t="s">
        <v>6</v>
      </c>
      <c r="C119" t="s">
        <v>11</v>
      </c>
      <c r="D119" t="s">
        <v>17</v>
      </c>
      <c r="E119">
        <v>4</v>
      </c>
      <c r="F119">
        <v>54392</v>
      </c>
    </row>
    <row r="120" spans="1:6" x14ac:dyDescent="0.3">
      <c r="A120" s="1">
        <v>45411</v>
      </c>
      <c r="B120" t="s">
        <v>20</v>
      </c>
      <c r="C120" t="s">
        <v>7</v>
      </c>
      <c r="D120" t="s">
        <v>21</v>
      </c>
      <c r="E120">
        <v>7</v>
      </c>
      <c r="F120">
        <v>58065</v>
      </c>
    </row>
    <row r="121" spans="1:6" x14ac:dyDescent="0.3">
      <c r="A121" s="1">
        <v>45412</v>
      </c>
      <c r="B121" t="s">
        <v>6</v>
      </c>
      <c r="C121" t="s">
        <v>11</v>
      </c>
      <c r="D121" t="s">
        <v>8</v>
      </c>
      <c r="E121">
        <v>5</v>
      </c>
      <c r="F121">
        <v>93475</v>
      </c>
    </row>
    <row r="122" spans="1:6" x14ac:dyDescent="0.3">
      <c r="A122" s="1">
        <v>45413</v>
      </c>
      <c r="B122" t="s">
        <v>9</v>
      </c>
      <c r="C122" t="s">
        <v>7</v>
      </c>
      <c r="D122" t="s">
        <v>10</v>
      </c>
      <c r="E122">
        <v>2</v>
      </c>
      <c r="F122">
        <v>29378</v>
      </c>
    </row>
    <row r="123" spans="1:6" x14ac:dyDescent="0.3">
      <c r="A123" s="1">
        <v>45414</v>
      </c>
      <c r="B123" t="s">
        <v>20</v>
      </c>
      <c r="C123" t="s">
        <v>14</v>
      </c>
      <c r="D123" t="s">
        <v>13</v>
      </c>
      <c r="E123">
        <v>2</v>
      </c>
      <c r="F123">
        <v>32836</v>
      </c>
    </row>
    <row r="124" spans="1:6" x14ac:dyDescent="0.3">
      <c r="A124" s="1">
        <v>45415</v>
      </c>
      <c r="B124" t="s">
        <v>6</v>
      </c>
      <c r="C124" t="s">
        <v>12</v>
      </c>
      <c r="D124" t="s">
        <v>21</v>
      </c>
      <c r="E124">
        <v>1</v>
      </c>
      <c r="F124">
        <v>7426</v>
      </c>
    </row>
    <row r="125" spans="1:6" x14ac:dyDescent="0.3">
      <c r="A125" s="1">
        <v>45416</v>
      </c>
      <c r="B125" t="s">
        <v>20</v>
      </c>
      <c r="C125" t="s">
        <v>16</v>
      </c>
      <c r="D125" t="s">
        <v>17</v>
      </c>
      <c r="E125">
        <v>9</v>
      </c>
      <c r="F125">
        <v>46026</v>
      </c>
    </row>
    <row r="126" spans="1:6" x14ac:dyDescent="0.3">
      <c r="A126" s="1">
        <v>45417</v>
      </c>
      <c r="B126" t="s">
        <v>6</v>
      </c>
      <c r="C126" t="s">
        <v>11</v>
      </c>
      <c r="D126" t="s">
        <v>13</v>
      </c>
      <c r="E126">
        <v>8</v>
      </c>
      <c r="F126">
        <v>103032</v>
      </c>
    </row>
    <row r="127" spans="1:6" x14ac:dyDescent="0.3">
      <c r="A127" s="1">
        <v>45418</v>
      </c>
      <c r="B127" t="s">
        <v>6</v>
      </c>
      <c r="C127" t="s">
        <v>7</v>
      </c>
      <c r="D127" t="s">
        <v>18</v>
      </c>
      <c r="E127">
        <v>9</v>
      </c>
      <c r="F127">
        <v>125721</v>
      </c>
    </row>
    <row r="128" spans="1:6" x14ac:dyDescent="0.3">
      <c r="A128" s="1">
        <v>45419</v>
      </c>
      <c r="B128" t="s">
        <v>20</v>
      </c>
      <c r="C128" t="s">
        <v>12</v>
      </c>
      <c r="D128" t="s">
        <v>10</v>
      </c>
      <c r="E128">
        <v>10</v>
      </c>
      <c r="F128">
        <v>141290</v>
      </c>
    </row>
    <row r="129" spans="1:6" x14ac:dyDescent="0.3">
      <c r="A129" s="1">
        <v>45420</v>
      </c>
      <c r="B129" t="s">
        <v>6</v>
      </c>
      <c r="C129" t="s">
        <v>12</v>
      </c>
      <c r="D129" t="s">
        <v>21</v>
      </c>
      <c r="E129">
        <v>2</v>
      </c>
      <c r="F129">
        <v>39936</v>
      </c>
    </row>
    <row r="130" spans="1:6" x14ac:dyDescent="0.3">
      <c r="A130" s="1">
        <v>45421</v>
      </c>
      <c r="B130" t="s">
        <v>15</v>
      </c>
      <c r="C130" t="s">
        <v>11</v>
      </c>
      <c r="D130" t="s">
        <v>19</v>
      </c>
      <c r="E130">
        <v>9</v>
      </c>
      <c r="F130">
        <v>80037</v>
      </c>
    </row>
    <row r="131" spans="1:6" x14ac:dyDescent="0.3">
      <c r="A131" s="1">
        <v>45422</v>
      </c>
      <c r="B131" t="s">
        <v>6</v>
      </c>
      <c r="C131" t="s">
        <v>7</v>
      </c>
      <c r="D131" t="s">
        <v>18</v>
      </c>
      <c r="E131">
        <v>3</v>
      </c>
      <c r="F131">
        <v>20124</v>
      </c>
    </row>
    <row r="132" spans="1:6" x14ac:dyDescent="0.3">
      <c r="A132" s="1">
        <v>45423</v>
      </c>
      <c r="B132" t="s">
        <v>15</v>
      </c>
      <c r="C132" t="s">
        <v>16</v>
      </c>
      <c r="D132" t="s">
        <v>18</v>
      </c>
      <c r="E132">
        <v>8</v>
      </c>
      <c r="F132">
        <v>67176</v>
      </c>
    </row>
    <row r="133" spans="1:6" x14ac:dyDescent="0.3">
      <c r="A133" s="1">
        <v>45424</v>
      </c>
      <c r="B133" t="s">
        <v>9</v>
      </c>
      <c r="C133" t="s">
        <v>7</v>
      </c>
      <c r="D133" t="s">
        <v>17</v>
      </c>
      <c r="E133">
        <v>4</v>
      </c>
      <c r="F133">
        <v>62172</v>
      </c>
    </row>
    <row r="134" spans="1:6" x14ac:dyDescent="0.3">
      <c r="A134" s="1">
        <v>45425</v>
      </c>
      <c r="B134" t="s">
        <v>20</v>
      </c>
      <c r="C134" t="s">
        <v>16</v>
      </c>
      <c r="D134" t="s">
        <v>21</v>
      </c>
      <c r="E134">
        <v>7</v>
      </c>
      <c r="F134">
        <v>100373</v>
      </c>
    </row>
    <row r="135" spans="1:6" x14ac:dyDescent="0.3">
      <c r="A135" s="1">
        <v>45426</v>
      </c>
      <c r="B135" t="s">
        <v>15</v>
      </c>
      <c r="C135" t="s">
        <v>12</v>
      </c>
      <c r="D135" t="s">
        <v>13</v>
      </c>
      <c r="E135">
        <v>5</v>
      </c>
      <c r="F135">
        <v>84390</v>
      </c>
    </row>
    <row r="136" spans="1:6" x14ac:dyDescent="0.3">
      <c r="A136" s="1">
        <v>45427</v>
      </c>
      <c r="B136" t="s">
        <v>20</v>
      </c>
      <c r="C136" t="s">
        <v>16</v>
      </c>
      <c r="D136" t="s">
        <v>18</v>
      </c>
      <c r="E136">
        <v>7</v>
      </c>
      <c r="F136">
        <v>63455</v>
      </c>
    </row>
    <row r="137" spans="1:6" x14ac:dyDescent="0.3">
      <c r="A137" s="1">
        <v>45428</v>
      </c>
      <c r="B137" t="s">
        <v>15</v>
      </c>
      <c r="C137" t="s">
        <v>16</v>
      </c>
      <c r="D137" t="s">
        <v>8</v>
      </c>
      <c r="E137">
        <v>2</v>
      </c>
      <c r="F137">
        <v>14340</v>
      </c>
    </row>
    <row r="138" spans="1:6" x14ac:dyDescent="0.3">
      <c r="A138" s="1">
        <v>45429</v>
      </c>
      <c r="B138" t="s">
        <v>20</v>
      </c>
      <c r="C138" t="s">
        <v>14</v>
      </c>
      <c r="D138" t="s">
        <v>19</v>
      </c>
      <c r="E138">
        <v>2</v>
      </c>
      <c r="F138">
        <v>34114</v>
      </c>
    </row>
    <row r="139" spans="1:6" x14ac:dyDescent="0.3">
      <c r="A139" s="1">
        <v>45430</v>
      </c>
      <c r="B139" t="s">
        <v>6</v>
      </c>
      <c r="C139" t="s">
        <v>16</v>
      </c>
      <c r="D139" t="s">
        <v>8</v>
      </c>
      <c r="E139">
        <v>10</v>
      </c>
      <c r="F139">
        <v>113970</v>
      </c>
    </row>
    <row r="140" spans="1:6" x14ac:dyDescent="0.3">
      <c r="A140" s="1">
        <v>45431</v>
      </c>
      <c r="B140" t="s">
        <v>20</v>
      </c>
      <c r="C140" t="s">
        <v>12</v>
      </c>
      <c r="D140" t="s">
        <v>21</v>
      </c>
      <c r="E140">
        <v>6</v>
      </c>
      <c r="F140">
        <v>113982</v>
      </c>
    </row>
    <row r="141" spans="1:6" x14ac:dyDescent="0.3">
      <c r="A141" s="1">
        <v>45432</v>
      </c>
      <c r="B141" t="s">
        <v>6</v>
      </c>
      <c r="C141" t="s">
        <v>11</v>
      </c>
      <c r="D141" t="s">
        <v>8</v>
      </c>
      <c r="E141">
        <v>2</v>
      </c>
      <c r="F141">
        <v>24088</v>
      </c>
    </row>
    <row r="142" spans="1:6" x14ac:dyDescent="0.3">
      <c r="A142" s="1">
        <v>45433</v>
      </c>
      <c r="B142" t="s">
        <v>20</v>
      </c>
      <c r="C142" t="s">
        <v>12</v>
      </c>
      <c r="D142" t="s">
        <v>13</v>
      </c>
      <c r="E142">
        <v>4</v>
      </c>
      <c r="F142">
        <v>58040</v>
      </c>
    </row>
    <row r="143" spans="1:6" x14ac:dyDescent="0.3">
      <c r="A143" s="1">
        <v>45434</v>
      </c>
      <c r="B143" t="s">
        <v>6</v>
      </c>
      <c r="C143" t="s">
        <v>14</v>
      </c>
      <c r="D143" t="s">
        <v>18</v>
      </c>
      <c r="E143">
        <v>1</v>
      </c>
      <c r="F143">
        <v>17287</v>
      </c>
    </row>
    <row r="144" spans="1:6" x14ac:dyDescent="0.3">
      <c r="A144" s="1">
        <v>45435</v>
      </c>
      <c r="B144" t="s">
        <v>20</v>
      </c>
      <c r="C144" t="s">
        <v>16</v>
      </c>
      <c r="D144" t="s">
        <v>10</v>
      </c>
      <c r="E144">
        <v>5</v>
      </c>
      <c r="F144">
        <v>62395</v>
      </c>
    </row>
    <row r="145" spans="1:6" x14ac:dyDescent="0.3">
      <c r="A145" s="1">
        <v>45436</v>
      </c>
      <c r="B145" t="s">
        <v>9</v>
      </c>
      <c r="C145" t="s">
        <v>11</v>
      </c>
      <c r="D145" t="s">
        <v>21</v>
      </c>
      <c r="E145">
        <v>6</v>
      </c>
      <c r="F145">
        <v>103998</v>
      </c>
    </row>
    <row r="146" spans="1:6" x14ac:dyDescent="0.3">
      <c r="A146" s="1">
        <v>45437</v>
      </c>
      <c r="B146" t="s">
        <v>6</v>
      </c>
      <c r="C146" t="s">
        <v>12</v>
      </c>
      <c r="D146" t="s">
        <v>10</v>
      </c>
      <c r="E146">
        <v>1</v>
      </c>
      <c r="F146">
        <v>7899</v>
      </c>
    </row>
    <row r="147" spans="1:6" x14ac:dyDescent="0.3">
      <c r="A147" s="1">
        <v>45438</v>
      </c>
      <c r="B147" t="s">
        <v>9</v>
      </c>
      <c r="C147" t="s">
        <v>7</v>
      </c>
      <c r="D147" t="s">
        <v>17</v>
      </c>
      <c r="E147">
        <v>10</v>
      </c>
      <c r="F147">
        <v>159900</v>
      </c>
    </row>
    <row r="148" spans="1:6" x14ac:dyDescent="0.3">
      <c r="A148" s="1">
        <v>45439</v>
      </c>
      <c r="B148" t="s">
        <v>20</v>
      </c>
      <c r="C148" t="s">
        <v>16</v>
      </c>
      <c r="D148" t="s">
        <v>8</v>
      </c>
      <c r="E148">
        <v>2</v>
      </c>
      <c r="F148">
        <v>24308</v>
      </c>
    </row>
    <row r="149" spans="1:6" x14ac:dyDescent="0.3">
      <c r="A149" s="1">
        <v>45440</v>
      </c>
      <c r="B149" t="s">
        <v>9</v>
      </c>
      <c r="C149" t="s">
        <v>16</v>
      </c>
      <c r="D149" t="s">
        <v>10</v>
      </c>
      <c r="E149">
        <v>1</v>
      </c>
      <c r="F149">
        <v>17230</v>
      </c>
    </row>
    <row r="150" spans="1:6" x14ac:dyDescent="0.3">
      <c r="A150" s="1">
        <v>45441</v>
      </c>
      <c r="B150" t="s">
        <v>9</v>
      </c>
      <c r="C150" t="s">
        <v>12</v>
      </c>
      <c r="D150" t="s">
        <v>18</v>
      </c>
      <c r="E150">
        <v>9</v>
      </c>
      <c r="F150">
        <v>67068</v>
      </c>
    </row>
    <row r="151" spans="1:6" x14ac:dyDescent="0.3">
      <c r="A151" s="1">
        <v>45442</v>
      </c>
      <c r="B151" t="s">
        <v>6</v>
      </c>
      <c r="C151" t="s">
        <v>12</v>
      </c>
      <c r="D151" t="s">
        <v>17</v>
      </c>
      <c r="E151">
        <v>7</v>
      </c>
      <c r="F151">
        <v>127701</v>
      </c>
    </row>
    <row r="152" spans="1:6" x14ac:dyDescent="0.3">
      <c r="A152" s="1">
        <v>45443</v>
      </c>
      <c r="B152" t="s">
        <v>6</v>
      </c>
      <c r="C152" t="s">
        <v>12</v>
      </c>
      <c r="D152" t="s">
        <v>17</v>
      </c>
      <c r="E152">
        <v>5</v>
      </c>
      <c r="F152">
        <v>29830</v>
      </c>
    </row>
    <row r="153" spans="1:6" x14ac:dyDescent="0.3">
      <c r="A153" s="1">
        <v>45444</v>
      </c>
      <c r="B153" t="s">
        <v>6</v>
      </c>
      <c r="C153" t="s">
        <v>16</v>
      </c>
      <c r="D153" t="s">
        <v>21</v>
      </c>
      <c r="E153">
        <v>10</v>
      </c>
      <c r="F153">
        <v>94920</v>
      </c>
    </row>
    <row r="154" spans="1:6" x14ac:dyDescent="0.3">
      <c r="A154" s="1">
        <v>45445</v>
      </c>
      <c r="B154" t="s">
        <v>6</v>
      </c>
      <c r="C154" t="s">
        <v>16</v>
      </c>
      <c r="D154" t="s">
        <v>19</v>
      </c>
      <c r="E154">
        <v>8</v>
      </c>
      <c r="F154">
        <v>48440</v>
      </c>
    </row>
    <row r="155" spans="1:6" x14ac:dyDescent="0.3">
      <c r="A155" s="1">
        <v>45446</v>
      </c>
      <c r="B155" t="s">
        <v>6</v>
      </c>
      <c r="C155" t="s">
        <v>12</v>
      </c>
      <c r="D155" t="s">
        <v>13</v>
      </c>
      <c r="E155">
        <v>9</v>
      </c>
      <c r="F155">
        <v>57051</v>
      </c>
    </row>
    <row r="156" spans="1:6" x14ac:dyDescent="0.3">
      <c r="A156" s="1">
        <v>45447</v>
      </c>
      <c r="B156" t="s">
        <v>9</v>
      </c>
      <c r="C156" t="s">
        <v>7</v>
      </c>
      <c r="D156" t="s">
        <v>19</v>
      </c>
      <c r="E156">
        <v>7</v>
      </c>
      <c r="F156">
        <v>82607</v>
      </c>
    </row>
    <row r="157" spans="1:6" x14ac:dyDescent="0.3">
      <c r="A157" s="1">
        <v>45448</v>
      </c>
      <c r="B157" t="s">
        <v>9</v>
      </c>
      <c r="C157" t="s">
        <v>16</v>
      </c>
      <c r="D157" t="s">
        <v>21</v>
      </c>
      <c r="E157">
        <v>6</v>
      </c>
      <c r="F157">
        <v>54894</v>
      </c>
    </row>
    <row r="158" spans="1:6" x14ac:dyDescent="0.3">
      <c r="A158" s="1">
        <v>45449</v>
      </c>
      <c r="B158" t="s">
        <v>6</v>
      </c>
      <c r="C158" t="s">
        <v>12</v>
      </c>
      <c r="D158" t="s">
        <v>19</v>
      </c>
      <c r="E158">
        <v>5</v>
      </c>
      <c r="F158">
        <v>52230</v>
      </c>
    </row>
    <row r="159" spans="1:6" x14ac:dyDescent="0.3">
      <c r="A159" s="1">
        <v>45450</v>
      </c>
      <c r="B159" t="s">
        <v>6</v>
      </c>
      <c r="C159" t="s">
        <v>16</v>
      </c>
      <c r="D159" t="s">
        <v>19</v>
      </c>
      <c r="E159">
        <v>1</v>
      </c>
      <c r="F159">
        <v>13171</v>
      </c>
    </row>
    <row r="160" spans="1:6" x14ac:dyDescent="0.3">
      <c r="A160" s="1">
        <v>45451</v>
      </c>
      <c r="B160" t="s">
        <v>15</v>
      </c>
      <c r="C160" t="s">
        <v>14</v>
      </c>
      <c r="D160" t="s">
        <v>17</v>
      </c>
      <c r="E160">
        <v>8</v>
      </c>
      <c r="F160">
        <v>70456</v>
      </c>
    </row>
    <row r="161" spans="1:6" x14ac:dyDescent="0.3">
      <c r="A161" s="1">
        <v>45452</v>
      </c>
      <c r="B161" t="s">
        <v>9</v>
      </c>
      <c r="C161" t="s">
        <v>14</v>
      </c>
      <c r="D161" t="s">
        <v>21</v>
      </c>
      <c r="E161">
        <v>3</v>
      </c>
      <c r="F161">
        <v>28143</v>
      </c>
    </row>
    <row r="162" spans="1:6" x14ac:dyDescent="0.3">
      <c r="A162" s="1">
        <v>45453</v>
      </c>
      <c r="B162" t="s">
        <v>9</v>
      </c>
      <c r="C162" t="s">
        <v>12</v>
      </c>
      <c r="D162" t="s">
        <v>8</v>
      </c>
      <c r="E162">
        <v>3</v>
      </c>
      <c r="F162">
        <v>47466</v>
      </c>
    </row>
    <row r="163" spans="1:6" x14ac:dyDescent="0.3">
      <c r="A163" s="1">
        <v>45454</v>
      </c>
      <c r="B163" t="s">
        <v>9</v>
      </c>
      <c r="C163" t="s">
        <v>14</v>
      </c>
      <c r="D163" t="s">
        <v>8</v>
      </c>
      <c r="E163">
        <v>10</v>
      </c>
      <c r="F163">
        <v>119520</v>
      </c>
    </row>
    <row r="164" spans="1:6" x14ac:dyDescent="0.3">
      <c r="A164" s="1">
        <v>45455</v>
      </c>
      <c r="B164" t="s">
        <v>9</v>
      </c>
      <c r="C164" t="s">
        <v>12</v>
      </c>
      <c r="D164" t="s">
        <v>21</v>
      </c>
      <c r="E164">
        <v>2</v>
      </c>
      <c r="F164">
        <v>10430</v>
      </c>
    </row>
    <row r="165" spans="1:6" x14ac:dyDescent="0.3">
      <c r="A165" s="1">
        <v>45456</v>
      </c>
      <c r="B165" t="s">
        <v>15</v>
      </c>
      <c r="C165" t="s">
        <v>7</v>
      </c>
      <c r="D165" t="s">
        <v>10</v>
      </c>
      <c r="E165">
        <v>9</v>
      </c>
      <c r="F165">
        <v>147168</v>
      </c>
    </row>
    <row r="166" spans="1:6" x14ac:dyDescent="0.3">
      <c r="A166" s="1">
        <v>45457</v>
      </c>
      <c r="B166" t="s">
        <v>6</v>
      </c>
      <c r="C166" t="s">
        <v>11</v>
      </c>
      <c r="D166" t="s">
        <v>8</v>
      </c>
      <c r="E166">
        <v>9</v>
      </c>
      <c r="F166">
        <v>74259</v>
      </c>
    </row>
    <row r="167" spans="1:6" x14ac:dyDescent="0.3">
      <c r="A167" s="1">
        <v>45458</v>
      </c>
      <c r="B167" t="s">
        <v>9</v>
      </c>
      <c r="C167" t="s">
        <v>11</v>
      </c>
      <c r="D167" t="s">
        <v>13</v>
      </c>
      <c r="E167">
        <v>8</v>
      </c>
      <c r="F167">
        <v>120856</v>
      </c>
    </row>
    <row r="168" spans="1:6" x14ac:dyDescent="0.3">
      <c r="A168" s="1">
        <v>45459</v>
      </c>
      <c r="B168" t="s">
        <v>20</v>
      </c>
      <c r="C168" t="s">
        <v>14</v>
      </c>
      <c r="D168" t="s">
        <v>21</v>
      </c>
      <c r="E168">
        <v>9</v>
      </c>
      <c r="F168">
        <v>162864</v>
      </c>
    </row>
    <row r="169" spans="1:6" x14ac:dyDescent="0.3">
      <c r="A169" s="1">
        <v>45460</v>
      </c>
      <c r="B169" t="s">
        <v>9</v>
      </c>
      <c r="C169" t="s">
        <v>7</v>
      </c>
      <c r="D169" t="s">
        <v>18</v>
      </c>
      <c r="E169">
        <v>2</v>
      </c>
      <c r="F169">
        <v>12828</v>
      </c>
    </row>
    <row r="170" spans="1:6" x14ac:dyDescent="0.3">
      <c r="A170" s="1">
        <v>45461</v>
      </c>
      <c r="B170" t="s">
        <v>15</v>
      </c>
      <c r="C170" t="s">
        <v>11</v>
      </c>
      <c r="D170" t="s">
        <v>17</v>
      </c>
      <c r="E170">
        <v>7</v>
      </c>
      <c r="F170">
        <v>117677</v>
      </c>
    </row>
    <row r="171" spans="1:6" x14ac:dyDescent="0.3">
      <c r="A171" s="1">
        <v>45462</v>
      </c>
      <c r="B171" t="s">
        <v>6</v>
      </c>
      <c r="C171" t="s">
        <v>12</v>
      </c>
      <c r="D171" t="s">
        <v>17</v>
      </c>
      <c r="E171">
        <v>9</v>
      </c>
      <c r="F171">
        <v>132030</v>
      </c>
    </row>
    <row r="172" spans="1:6" x14ac:dyDescent="0.3">
      <c r="A172" s="1">
        <v>45463</v>
      </c>
      <c r="B172" t="s">
        <v>15</v>
      </c>
      <c r="C172" t="s">
        <v>7</v>
      </c>
      <c r="D172" t="s">
        <v>21</v>
      </c>
      <c r="E172">
        <v>7</v>
      </c>
      <c r="F172">
        <v>99603</v>
      </c>
    </row>
    <row r="173" spans="1:6" x14ac:dyDescent="0.3">
      <c r="A173" s="1">
        <v>45464</v>
      </c>
      <c r="B173" t="s">
        <v>20</v>
      </c>
      <c r="C173" t="s">
        <v>16</v>
      </c>
      <c r="D173" t="s">
        <v>13</v>
      </c>
      <c r="E173">
        <v>6</v>
      </c>
      <c r="F173">
        <v>54330</v>
      </c>
    </row>
    <row r="174" spans="1:6" x14ac:dyDescent="0.3">
      <c r="A174" s="1">
        <v>45465</v>
      </c>
      <c r="B174" t="s">
        <v>15</v>
      </c>
      <c r="C174" t="s">
        <v>16</v>
      </c>
      <c r="D174" t="s">
        <v>18</v>
      </c>
      <c r="E174">
        <v>9</v>
      </c>
      <c r="F174">
        <v>80100</v>
      </c>
    </row>
    <row r="175" spans="1:6" x14ac:dyDescent="0.3">
      <c r="A175" s="1">
        <v>45466</v>
      </c>
      <c r="B175" t="s">
        <v>6</v>
      </c>
      <c r="C175" t="s">
        <v>14</v>
      </c>
      <c r="D175" t="s">
        <v>19</v>
      </c>
      <c r="E175">
        <v>7</v>
      </c>
      <c r="F175">
        <v>51842</v>
      </c>
    </row>
    <row r="176" spans="1:6" x14ac:dyDescent="0.3">
      <c r="A176" s="1">
        <v>45467</v>
      </c>
      <c r="B176" t="s">
        <v>9</v>
      </c>
      <c r="C176" t="s">
        <v>14</v>
      </c>
      <c r="D176" t="s">
        <v>21</v>
      </c>
      <c r="E176">
        <v>2</v>
      </c>
      <c r="F176">
        <v>23292</v>
      </c>
    </row>
    <row r="177" spans="1:6" x14ac:dyDescent="0.3">
      <c r="A177" s="1">
        <v>45468</v>
      </c>
      <c r="B177" t="s">
        <v>20</v>
      </c>
      <c r="C177" t="s">
        <v>11</v>
      </c>
      <c r="D177" t="s">
        <v>8</v>
      </c>
      <c r="E177">
        <v>2</v>
      </c>
      <c r="F177">
        <v>34856</v>
      </c>
    </row>
    <row r="178" spans="1:6" x14ac:dyDescent="0.3">
      <c r="A178" s="1">
        <v>45469</v>
      </c>
      <c r="B178" t="s">
        <v>6</v>
      </c>
      <c r="C178" t="s">
        <v>7</v>
      </c>
      <c r="D178" t="s">
        <v>21</v>
      </c>
      <c r="E178">
        <v>5</v>
      </c>
      <c r="F178">
        <v>78995</v>
      </c>
    </row>
    <row r="179" spans="1:6" x14ac:dyDescent="0.3">
      <c r="A179" s="1">
        <v>45470</v>
      </c>
      <c r="B179" t="s">
        <v>20</v>
      </c>
      <c r="C179" t="s">
        <v>14</v>
      </c>
      <c r="D179" t="s">
        <v>17</v>
      </c>
      <c r="E179">
        <v>7</v>
      </c>
      <c r="F179">
        <v>89649</v>
      </c>
    </row>
    <row r="180" spans="1:6" x14ac:dyDescent="0.3">
      <c r="A180" s="1">
        <v>45471</v>
      </c>
      <c r="B180" t="s">
        <v>15</v>
      </c>
      <c r="C180" t="s">
        <v>12</v>
      </c>
      <c r="D180" t="s">
        <v>19</v>
      </c>
      <c r="E180">
        <v>2</v>
      </c>
      <c r="F180">
        <v>12652</v>
      </c>
    </row>
    <row r="181" spans="1:6" x14ac:dyDescent="0.3">
      <c r="A181" s="1">
        <v>45472</v>
      </c>
      <c r="B181" t="s">
        <v>15</v>
      </c>
      <c r="C181" t="s">
        <v>11</v>
      </c>
      <c r="D181" t="s">
        <v>13</v>
      </c>
      <c r="E181">
        <v>6</v>
      </c>
      <c r="F181">
        <v>76014</v>
      </c>
    </row>
    <row r="182" spans="1:6" x14ac:dyDescent="0.3">
      <c r="A182" s="1">
        <v>45473</v>
      </c>
      <c r="B182" t="s">
        <v>15</v>
      </c>
      <c r="C182" t="s">
        <v>14</v>
      </c>
      <c r="D182" t="s">
        <v>8</v>
      </c>
      <c r="E182">
        <v>3</v>
      </c>
      <c r="F182">
        <v>59985</v>
      </c>
    </row>
    <row r="183" spans="1:6" x14ac:dyDescent="0.3">
      <c r="A183" s="1">
        <v>45474</v>
      </c>
      <c r="B183" t="s">
        <v>9</v>
      </c>
      <c r="C183" t="s">
        <v>11</v>
      </c>
      <c r="D183" t="s">
        <v>8</v>
      </c>
      <c r="E183">
        <v>1</v>
      </c>
      <c r="F183">
        <v>16220</v>
      </c>
    </row>
    <row r="184" spans="1:6" x14ac:dyDescent="0.3">
      <c r="A184" s="1">
        <v>45475</v>
      </c>
      <c r="B184" t="s">
        <v>9</v>
      </c>
      <c r="C184" t="s">
        <v>14</v>
      </c>
      <c r="D184" t="s">
        <v>17</v>
      </c>
      <c r="E184">
        <v>6</v>
      </c>
      <c r="F184">
        <v>84450</v>
      </c>
    </row>
    <row r="185" spans="1:6" x14ac:dyDescent="0.3">
      <c r="A185" s="1">
        <v>45476</v>
      </c>
      <c r="B185" t="s">
        <v>6</v>
      </c>
      <c r="C185" t="s">
        <v>11</v>
      </c>
      <c r="D185" t="s">
        <v>18</v>
      </c>
      <c r="E185">
        <v>7</v>
      </c>
      <c r="F185">
        <v>43092</v>
      </c>
    </row>
    <row r="186" spans="1:6" x14ac:dyDescent="0.3">
      <c r="A186" s="1">
        <v>45477</v>
      </c>
      <c r="B186" t="s">
        <v>20</v>
      </c>
      <c r="C186" t="s">
        <v>16</v>
      </c>
      <c r="D186" t="s">
        <v>10</v>
      </c>
      <c r="E186">
        <v>5</v>
      </c>
      <c r="F186">
        <v>55995</v>
      </c>
    </row>
    <row r="187" spans="1:6" x14ac:dyDescent="0.3">
      <c r="A187" s="1">
        <v>45478</v>
      </c>
      <c r="B187" t="s">
        <v>6</v>
      </c>
      <c r="C187" t="s">
        <v>16</v>
      </c>
      <c r="D187" t="s">
        <v>21</v>
      </c>
      <c r="E187">
        <v>4</v>
      </c>
      <c r="F187">
        <v>78248</v>
      </c>
    </row>
    <row r="188" spans="1:6" x14ac:dyDescent="0.3">
      <c r="A188" s="1">
        <v>45479</v>
      </c>
      <c r="B188" t="s">
        <v>6</v>
      </c>
      <c r="C188" t="s">
        <v>14</v>
      </c>
      <c r="D188" t="s">
        <v>10</v>
      </c>
      <c r="E188">
        <v>9</v>
      </c>
      <c r="F188">
        <v>163800</v>
      </c>
    </row>
    <row r="189" spans="1:6" x14ac:dyDescent="0.3">
      <c r="A189" s="1">
        <v>45480</v>
      </c>
      <c r="B189" t="s">
        <v>9</v>
      </c>
      <c r="C189" t="s">
        <v>7</v>
      </c>
      <c r="D189" t="s">
        <v>19</v>
      </c>
      <c r="E189">
        <v>2</v>
      </c>
      <c r="F189">
        <v>32700</v>
      </c>
    </row>
    <row r="190" spans="1:6" x14ac:dyDescent="0.3">
      <c r="A190" s="1">
        <v>45481</v>
      </c>
      <c r="B190" t="s">
        <v>6</v>
      </c>
      <c r="C190" t="s">
        <v>11</v>
      </c>
      <c r="D190" t="s">
        <v>21</v>
      </c>
      <c r="E190">
        <v>2</v>
      </c>
      <c r="F190">
        <v>23138</v>
      </c>
    </row>
    <row r="191" spans="1:6" x14ac:dyDescent="0.3">
      <c r="A191" s="1">
        <v>45482</v>
      </c>
      <c r="B191" t="s">
        <v>20</v>
      </c>
      <c r="C191" t="s">
        <v>16</v>
      </c>
      <c r="D191" t="s">
        <v>19</v>
      </c>
      <c r="E191">
        <v>4</v>
      </c>
      <c r="F191">
        <v>39472</v>
      </c>
    </row>
    <row r="192" spans="1:6" x14ac:dyDescent="0.3">
      <c r="A192" s="1">
        <v>45483</v>
      </c>
      <c r="B192" t="s">
        <v>9</v>
      </c>
      <c r="C192" t="s">
        <v>11</v>
      </c>
      <c r="D192" t="s">
        <v>13</v>
      </c>
      <c r="E192">
        <v>8</v>
      </c>
      <c r="F192">
        <v>102184</v>
      </c>
    </row>
    <row r="193" spans="1:6" x14ac:dyDescent="0.3">
      <c r="A193" s="1">
        <v>45484</v>
      </c>
      <c r="B193" t="s">
        <v>6</v>
      </c>
      <c r="C193" t="s">
        <v>16</v>
      </c>
      <c r="D193" t="s">
        <v>17</v>
      </c>
      <c r="E193">
        <v>3</v>
      </c>
      <c r="F193">
        <v>22218</v>
      </c>
    </row>
    <row r="194" spans="1:6" x14ac:dyDescent="0.3">
      <c r="A194" s="1">
        <v>45485</v>
      </c>
      <c r="B194" t="s">
        <v>6</v>
      </c>
      <c r="C194" t="s">
        <v>11</v>
      </c>
      <c r="D194" t="s">
        <v>10</v>
      </c>
      <c r="E194">
        <v>2</v>
      </c>
      <c r="F194">
        <v>28074</v>
      </c>
    </row>
    <row r="195" spans="1:6" x14ac:dyDescent="0.3">
      <c r="A195" s="1">
        <v>45486</v>
      </c>
      <c r="B195" t="s">
        <v>6</v>
      </c>
      <c r="C195" t="s">
        <v>16</v>
      </c>
      <c r="D195" t="s">
        <v>18</v>
      </c>
      <c r="E195">
        <v>4</v>
      </c>
      <c r="F195">
        <v>30172</v>
      </c>
    </row>
    <row r="196" spans="1:6" x14ac:dyDescent="0.3">
      <c r="A196" s="1">
        <v>45487</v>
      </c>
      <c r="B196" t="s">
        <v>15</v>
      </c>
      <c r="C196" t="s">
        <v>11</v>
      </c>
      <c r="D196" t="s">
        <v>13</v>
      </c>
      <c r="E196">
        <v>9</v>
      </c>
      <c r="F196">
        <v>138141</v>
      </c>
    </row>
    <row r="197" spans="1:6" x14ac:dyDescent="0.3">
      <c r="A197" s="1">
        <v>45488</v>
      </c>
      <c r="B197" t="s">
        <v>15</v>
      </c>
      <c r="C197" t="s">
        <v>16</v>
      </c>
      <c r="D197" t="s">
        <v>8</v>
      </c>
      <c r="E197">
        <v>8</v>
      </c>
      <c r="F197">
        <v>59208</v>
      </c>
    </row>
    <row r="198" spans="1:6" x14ac:dyDescent="0.3">
      <c r="A198" s="1">
        <v>45489</v>
      </c>
      <c r="B198" t="s">
        <v>6</v>
      </c>
      <c r="C198" t="s">
        <v>14</v>
      </c>
      <c r="D198" t="s">
        <v>13</v>
      </c>
      <c r="E198">
        <v>8</v>
      </c>
      <c r="F198">
        <v>156960</v>
      </c>
    </row>
    <row r="199" spans="1:6" x14ac:dyDescent="0.3">
      <c r="A199" s="1">
        <v>45490</v>
      </c>
      <c r="B199" t="s">
        <v>6</v>
      </c>
      <c r="C199" t="s">
        <v>7</v>
      </c>
      <c r="D199" t="s">
        <v>19</v>
      </c>
      <c r="E199">
        <v>1</v>
      </c>
      <c r="F199">
        <v>10838</v>
      </c>
    </row>
    <row r="200" spans="1:6" x14ac:dyDescent="0.3">
      <c r="A200" s="1">
        <v>45491</v>
      </c>
      <c r="B200" t="s">
        <v>6</v>
      </c>
      <c r="C200" t="s">
        <v>16</v>
      </c>
      <c r="D200" t="s">
        <v>19</v>
      </c>
      <c r="E200">
        <v>8</v>
      </c>
      <c r="F200">
        <v>74184</v>
      </c>
    </row>
    <row r="201" spans="1:6" x14ac:dyDescent="0.3">
      <c r="A201" s="1">
        <v>45492</v>
      </c>
      <c r="B201" t="s">
        <v>6</v>
      </c>
      <c r="C201" t="s">
        <v>11</v>
      </c>
      <c r="D201" t="s">
        <v>19</v>
      </c>
      <c r="E201">
        <v>7</v>
      </c>
      <c r="F201">
        <v>119735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D5" sqref="D5:D9"/>
    </sheetView>
  </sheetViews>
  <sheetFormatPr defaultRowHeight="14.4" x14ac:dyDescent="0.3"/>
  <cols>
    <col min="1" max="1" width="19.21875" customWidth="1"/>
    <col min="2" max="2" width="15.5546875" customWidth="1"/>
    <col min="3" max="5" width="8" customWidth="1"/>
    <col min="6" max="6" width="7" customWidth="1"/>
    <col min="7" max="7" width="10.77734375" customWidth="1"/>
    <col min="8" max="201" width="15.5546875" customWidth="1"/>
    <col min="202" max="202" width="10.77734375" customWidth="1"/>
    <col min="203" max="203" width="12.33203125" customWidth="1"/>
    <col min="204" max="204" width="15.109375" customWidth="1"/>
    <col min="205" max="205" width="12.33203125" customWidth="1"/>
    <col min="206" max="206" width="15.109375" customWidth="1"/>
    <col min="207" max="207" width="12.33203125" customWidth="1"/>
    <col min="208" max="208" width="15.109375" customWidth="1"/>
    <col min="209" max="209" width="12.33203125" customWidth="1"/>
    <col min="210" max="210" width="15.109375" customWidth="1"/>
    <col min="211" max="211" width="12.33203125" customWidth="1"/>
    <col min="212" max="212" width="15.109375" customWidth="1"/>
    <col min="213" max="213" width="12.33203125" customWidth="1"/>
    <col min="214" max="214" width="15.109375" customWidth="1"/>
    <col min="215" max="215" width="12.33203125" customWidth="1"/>
    <col min="216" max="216" width="15.109375" customWidth="1"/>
    <col min="217" max="217" width="12.33203125" customWidth="1"/>
    <col min="218" max="218" width="15.109375" customWidth="1"/>
    <col min="219" max="219" width="12.33203125" customWidth="1"/>
    <col min="220" max="220" width="15.109375" customWidth="1"/>
    <col min="221" max="221" width="12.33203125" customWidth="1"/>
    <col min="222" max="222" width="15.109375" customWidth="1"/>
    <col min="223" max="223" width="12.33203125" customWidth="1"/>
    <col min="224" max="224" width="15.109375" customWidth="1"/>
    <col min="225" max="225" width="12.33203125" customWidth="1"/>
    <col min="226" max="226" width="15.109375" customWidth="1"/>
    <col min="227" max="227" width="12.33203125" customWidth="1"/>
    <col min="228" max="228" width="15.109375" customWidth="1"/>
    <col min="229" max="229" width="12.33203125" customWidth="1"/>
    <col min="230" max="230" width="15.109375" customWidth="1"/>
    <col min="231" max="231" width="12.33203125" customWidth="1"/>
    <col min="232" max="232" width="15.109375" customWidth="1"/>
    <col min="233" max="233" width="12.33203125" customWidth="1"/>
    <col min="234" max="234" width="15.109375" customWidth="1"/>
    <col min="235" max="235" width="12.33203125" customWidth="1"/>
    <col min="236" max="236" width="15.109375" customWidth="1"/>
    <col min="237" max="237" width="12.33203125" customWidth="1"/>
    <col min="238" max="238" width="15.109375" customWidth="1"/>
    <col min="239" max="239" width="12.33203125" customWidth="1"/>
    <col min="240" max="240" width="15.109375" customWidth="1"/>
    <col min="241" max="241" width="12.33203125" customWidth="1"/>
    <col min="242" max="242" width="15.109375" customWidth="1"/>
    <col min="243" max="243" width="12.33203125" customWidth="1"/>
    <col min="244" max="244" width="15.109375" customWidth="1"/>
    <col min="245" max="245" width="12.33203125" customWidth="1"/>
    <col min="246" max="246" width="15.109375" customWidth="1"/>
    <col min="247" max="247" width="12.33203125" customWidth="1"/>
    <col min="248" max="248" width="15.109375" customWidth="1"/>
    <col min="249" max="249" width="12.33203125" customWidth="1"/>
    <col min="250" max="250" width="15.109375" customWidth="1"/>
    <col min="251" max="251" width="12.33203125" customWidth="1"/>
    <col min="252" max="252" width="15.109375" customWidth="1"/>
    <col min="253" max="253" width="12.33203125" customWidth="1"/>
    <col min="254" max="254" width="15.109375" customWidth="1"/>
    <col min="255" max="255" width="12.33203125" customWidth="1"/>
    <col min="256" max="256" width="15.109375" customWidth="1"/>
    <col min="257" max="257" width="12.33203125" customWidth="1"/>
    <col min="258" max="258" width="15.109375" customWidth="1"/>
    <col min="259" max="259" width="12.33203125" customWidth="1"/>
    <col min="260" max="260" width="15.109375" customWidth="1"/>
    <col min="261" max="261" width="12.33203125" customWidth="1"/>
    <col min="262" max="262" width="15.109375" customWidth="1"/>
    <col min="263" max="263" width="12.33203125" customWidth="1"/>
    <col min="264" max="264" width="15.109375" customWidth="1"/>
    <col min="265" max="265" width="12.33203125" customWidth="1"/>
    <col min="266" max="266" width="15.109375" customWidth="1"/>
    <col min="267" max="267" width="12.33203125" customWidth="1"/>
    <col min="268" max="268" width="15.109375" customWidth="1"/>
    <col min="269" max="269" width="12.33203125" customWidth="1"/>
    <col min="270" max="270" width="15.109375" customWidth="1"/>
    <col min="271" max="271" width="12.33203125" customWidth="1"/>
    <col min="272" max="272" width="15.109375" customWidth="1"/>
    <col min="273" max="273" width="12.33203125" customWidth="1"/>
    <col min="274" max="274" width="15.109375" customWidth="1"/>
    <col min="275" max="275" width="12.33203125" customWidth="1"/>
    <col min="276" max="276" width="15.109375" customWidth="1"/>
    <col min="277" max="277" width="12.33203125" customWidth="1"/>
    <col min="278" max="278" width="15.109375" customWidth="1"/>
    <col min="279" max="279" width="12.33203125" customWidth="1"/>
    <col min="280" max="280" width="15.109375" customWidth="1"/>
    <col min="281" max="281" width="12.33203125" customWidth="1"/>
    <col min="282" max="282" width="15.109375" customWidth="1"/>
    <col min="283" max="283" width="12.33203125" customWidth="1"/>
    <col min="284" max="284" width="15.109375" customWidth="1"/>
    <col min="285" max="285" width="12.33203125" customWidth="1"/>
    <col min="286" max="286" width="15.109375" customWidth="1"/>
    <col min="287" max="287" width="12.33203125" customWidth="1"/>
    <col min="288" max="288" width="15.109375" customWidth="1"/>
    <col min="289" max="289" width="12.33203125" customWidth="1"/>
    <col min="290" max="290" width="15.109375" customWidth="1"/>
    <col min="291" max="291" width="12.33203125" customWidth="1"/>
    <col min="292" max="292" width="15.109375" customWidth="1"/>
    <col min="293" max="293" width="12.33203125" customWidth="1"/>
    <col min="294" max="294" width="15.109375" customWidth="1"/>
    <col min="295" max="295" width="12.33203125" customWidth="1"/>
    <col min="296" max="296" width="15.109375" customWidth="1"/>
    <col min="297" max="297" width="12.33203125" customWidth="1"/>
    <col min="298" max="298" width="15.109375" customWidth="1"/>
    <col min="299" max="299" width="12.33203125" customWidth="1"/>
    <col min="300" max="300" width="15.109375" customWidth="1"/>
    <col min="301" max="301" width="12.33203125" customWidth="1"/>
    <col min="302" max="302" width="15.109375" customWidth="1"/>
    <col min="303" max="303" width="12.33203125" customWidth="1"/>
    <col min="304" max="304" width="15.109375" customWidth="1"/>
    <col min="305" max="305" width="12.33203125" customWidth="1"/>
    <col min="306" max="306" width="15.109375" customWidth="1"/>
    <col min="307" max="307" width="12.33203125" customWidth="1"/>
    <col min="308" max="308" width="15.109375" customWidth="1"/>
    <col min="309" max="309" width="12.33203125" customWidth="1"/>
    <col min="310" max="310" width="15.109375" customWidth="1"/>
    <col min="311" max="311" width="12.33203125" customWidth="1"/>
    <col min="312" max="312" width="15.109375" customWidth="1"/>
    <col min="313" max="313" width="12.33203125" customWidth="1"/>
    <col min="314" max="314" width="15.109375" customWidth="1"/>
    <col min="315" max="315" width="12.33203125" customWidth="1"/>
    <col min="316" max="316" width="15.109375" customWidth="1"/>
    <col min="317" max="317" width="12.33203125" customWidth="1"/>
    <col min="318" max="318" width="15.109375" customWidth="1"/>
    <col min="319" max="319" width="12.33203125" customWidth="1"/>
    <col min="320" max="320" width="15.109375" customWidth="1"/>
    <col min="321" max="321" width="12.33203125" customWidth="1"/>
    <col min="322" max="322" width="15.109375" customWidth="1"/>
    <col min="323" max="323" width="12.33203125" customWidth="1"/>
    <col min="324" max="324" width="15.109375" customWidth="1"/>
    <col min="325" max="325" width="12.33203125" customWidth="1"/>
    <col min="326" max="326" width="15.109375" customWidth="1"/>
    <col min="327" max="327" width="12.33203125" customWidth="1"/>
    <col min="328" max="328" width="15.109375" customWidth="1"/>
    <col min="329" max="329" width="12.33203125" customWidth="1"/>
    <col min="330" max="330" width="15.109375" customWidth="1"/>
    <col min="331" max="331" width="12.33203125" customWidth="1"/>
    <col min="332" max="332" width="15.109375" customWidth="1"/>
    <col min="333" max="333" width="12.33203125" customWidth="1"/>
    <col min="334" max="334" width="15.109375" customWidth="1"/>
    <col min="335" max="335" width="12.33203125" customWidth="1"/>
    <col min="336" max="336" width="15.109375" customWidth="1"/>
    <col min="337" max="337" width="12.33203125" customWidth="1"/>
    <col min="338" max="338" width="15.109375" customWidth="1"/>
    <col min="339" max="339" width="12.33203125" customWidth="1"/>
    <col min="340" max="340" width="15.109375" customWidth="1"/>
    <col min="341" max="341" width="12.33203125" customWidth="1"/>
    <col min="342" max="342" width="15.109375" customWidth="1"/>
    <col min="343" max="343" width="12.33203125" customWidth="1"/>
    <col min="344" max="344" width="15.109375" customWidth="1"/>
    <col min="345" max="345" width="12.33203125" customWidth="1"/>
    <col min="346" max="346" width="15.109375" customWidth="1"/>
    <col min="347" max="347" width="12.33203125" customWidth="1"/>
    <col min="348" max="348" width="15.109375" customWidth="1"/>
    <col min="349" max="349" width="12.33203125" customWidth="1"/>
    <col min="350" max="350" width="15.109375" customWidth="1"/>
    <col min="351" max="351" width="12.33203125" customWidth="1"/>
    <col min="352" max="352" width="15.109375" customWidth="1"/>
    <col min="353" max="353" width="12.33203125" customWidth="1"/>
    <col min="354" max="354" width="15.109375" customWidth="1"/>
    <col min="355" max="355" width="12.33203125" customWidth="1"/>
    <col min="356" max="356" width="15.109375" customWidth="1"/>
    <col min="357" max="357" width="12.33203125" customWidth="1"/>
    <col min="358" max="358" width="15.109375" customWidth="1"/>
    <col min="359" max="359" width="12.33203125" customWidth="1"/>
    <col min="360" max="360" width="15.109375" customWidth="1"/>
    <col min="361" max="361" width="12.33203125" customWidth="1"/>
    <col min="362" max="362" width="15.109375" customWidth="1"/>
    <col min="363" max="363" width="12.33203125" customWidth="1"/>
    <col min="364" max="364" width="15.109375" customWidth="1"/>
    <col min="365" max="365" width="12.33203125" customWidth="1"/>
    <col min="366" max="366" width="15.109375" customWidth="1"/>
    <col min="367" max="367" width="12.33203125" customWidth="1"/>
    <col min="368" max="368" width="15.109375" customWidth="1"/>
    <col min="369" max="369" width="12.33203125" customWidth="1"/>
    <col min="370" max="370" width="15.109375" customWidth="1"/>
    <col min="371" max="371" width="12.33203125" customWidth="1"/>
    <col min="372" max="372" width="15.109375" customWidth="1"/>
    <col min="373" max="373" width="12.33203125" customWidth="1"/>
    <col min="374" max="374" width="15.109375" customWidth="1"/>
    <col min="375" max="375" width="12.33203125" customWidth="1"/>
    <col min="376" max="376" width="15.109375" customWidth="1"/>
    <col min="377" max="377" width="12.33203125" customWidth="1"/>
    <col min="378" max="378" width="15.109375" customWidth="1"/>
    <col min="379" max="379" width="12.33203125" customWidth="1"/>
    <col min="380" max="380" width="15.109375" customWidth="1"/>
    <col min="381" max="381" width="12.33203125" customWidth="1"/>
    <col min="382" max="382" width="15.109375" customWidth="1"/>
    <col min="383" max="383" width="12.33203125" customWidth="1"/>
    <col min="384" max="384" width="15.109375" customWidth="1"/>
    <col min="385" max="385" width="12.33203125" customWidth="1"/>
    <col min="386" max="386" width="15.109375" customWidth="1"/>
    <col min="387" max="387" width="12.33203125" customWidth="1"/>
    <col min="388" max="388" width="15.109375" customWidth="1"/>
    <col min="389" max="389" width="12.33203125" customWidth="1"/>
    <col min="390" max="390" width="15.109375" customWidth="1"/>
    <col min="391" max="391" width="12.33203125" customWidth="1"/>
    <col min="392" max="392" width="15.109375" customWidth="1"/>
    <col min="393" max="393" width="12.33203125" customWidth="1"/>
    <col min="394" max="394" width="15.109375" customWidth="1"/>
    <col min="395" max="395" width="12.33203125" customWidth="1"/>
    <col min="396" max="396" width="15.109375" customWidth="1"/>
    <col min="397" max="397" width="12.33203125" customWidth="1"/>
    <col min="398" max="398" width="15.109375" customWidth="1"/>
    <col min="399" max="399" width="12.33203125" customWidth="1"/>
    <col min="400" max="400" width="15.109375" customWidth="1"/>
    <col min="401" max="401" width="9" customWidth="1"/>
    <col min="402" max="402" width="11.6640625" customWidth="1"/>
    <col min="403" max="404" width="10.77734375" customWidth="1"/>
    <col min="405" max="405" width="25.6640625" customWidth="1"/>
    <col min="406" max="406" width="16.21875" customWidth="1"/>
    <col min="407" max="407" width="15.5546875" customWidth="1"/>
    <col min="408" max="408" width="26.33203125" customWidth="1"/>
    <col min="409" max="409" width="25.6640625" customWidth="1"/>
    <col min="410" max="410" width="16.21875" customWidth="1"/>
    <col min="411" max="411" width="15.5546875" customWidth="1"/>
    <col min="412" max="412" width="26.33203125" customWidth="1"/>
    <col min="413" max="413" width="25.6640625" customWidth="1"/>
    <col min="414" max="414" width="16.21875" customWidth="1"/>
    <col min="415" max="415" width="15.5546875" customWidth="1"/>
    <col min="416" max="416" width="26.33203125" customWidth="1"/>
    <col min="417" max="417" width="25.6640625" customWidth="1"/>
    <col min="418" max="418" width="16.21875" customWidth="1"/>
    <col min="419" max="419" width="15.5546875" customWidth="1"/>
    <col min="420" max="420" width="26.33203125" customWidth="1"/>
    <col min="421" max="421" width="25.6640625" customWidth="1"/>
    <col min="422" max="422" width="16.21875" customWidth="1"/>
    <col min="423" max="423" width="15.5546875" customWidth="1"/>
    <col min="424" max="424" width="26.33203125" customWidth="1"/>
    <col min="425" max="425" width="25.6640625" customWidth="1"/>
    <col min="426" max="426" width="16.21875" customWidth="1"/>
    <col min="427" max="427" width="15.5546875" customWidth="1"/>
    <col min="428" max="428" width="26.33203125" customWidth="1"/>
    <col min="429" max="429" width="25.6640625" customWidth="1"/>
    <col min="430" max="430" width="16.21875" customWidth="1"/>
    <col min="431" max="431" width="15.5546875" customWidth="1"/>
    <col min="432" max="432" width="26.33203125" customWidth="1"/>
    <col min="433" max="433" width="25.6640625" customWidth="1"/>
    <col min="434" max="434" width="16.21875" customWidth="1"/>
    <col min="435" max="435" width="15.5546875" customWidth="1"/>
    <col min="436" max="436" width="26.33203125" customWidth="1"/>
    <col min="437" max="437" width="25.6640625" customWidth="1"/>
    <col min="438" max="438" width="16.21875" customWidth="1"/>
    <col min="439" max="439" width="15.5546875" customWidth="1"/>
    <col min="440" max="440" width="26.33203125" customWidth="1"/>
    <col min="441" max="441" width="25.6640625" customWidth="1"/>
    <col min="442" max="442" width="16.21875" customWidth="1"/>
    <col min="443" max="443" width="15.5546875" customWidth="1"/>
    <col min="444" max="444" width="26.33203125" customWidth="1"/>
    <col min="445" max="445" width="25.6640625" customWidth="1"/>
    <col min="446" max="446" width="16.21875" customWidth="1"/>
    <col min="447" max="447" width="15.5546875" customWidth="1"/>
    <col min="448" max="448" width="26.33203125" customWidth="1"/>
    <col min="449" max="449" width="25.6640625" customWidth="1"/>
    <col min="450" max="450" width="16.21875" customWidth="1"/>
    <col min="451" max="451" width="15.5546875" customWidth="1"/>
    <col min="452" max="452" width="26.33203125" customWidth="1"/>
    <col min="453" max="453" width="25.6640625" customWidth="1"/>
    <col min="454" max="454" width="16.21875" customWidth="1"/>
    <col min="455" max="455" width="15.5546875" customWidth="1"/>
    <col min="456" max="456" width="26.33203125" customWidth="1"/>
    <col min="457" max="457" width="25.6640625" customWidth="1"/>
    <col min="458" max="458" width="16.21875" customWidth="1"/>
    <col min="459" max="459" width="15.5546875" customWidth="1"/>
    <col min="460" max="460" width="26.33203125" customWidth="1"/>
    <col min="461" max="461" width="25.6640625" customWidth="1"/>
    <col min="462" max="462" width="16.21875" customWidth="1"/>
    <col min="463" max="463" width="15.5546875" customWidth="1"/>
    <col min="464" max="464" width="26.33203125" customWidth="1"/>
    <col min="465" max="465" width="25.6640625" customWidth="1"/>
    <col min="466" max="466" width="16.21875" customWidth="1"/>
    <col min="467" max="467" width="15.5546875" customWidth="1"/>
    <col min="468" max="468" width="26.33203125" customWidth="1"/>
    <col min="469" max="469" width="25.6640625" customWidth="1"/>
    <col min="470" max="470" width="16.21875" customWidth="1"/>
    <col min="471" max="471" width="15.5546875" customWidth="1"/>
    <col min="472" max="472" width="26.33203125" customWidth="1"/>
    <col min="473" max="473" width="25.6640625" customWidth="1"/>
    <col min="474" max="474" width="16.21875" customWidth="1"/>
    <col min="475" max="475" width="15.5546875" customWidth="1"/>
    <col min="476" max="476" width="26.33203125" customWidth="1"/>
    <col min="477" max="477" width="25.6640625" customWidth="1"/>
    <col min="478" max="478" width="16.21875" customWidth="1"/>
    <col min="479" max="479" width="15.5546875" customWidth="1"/>
    <col min="480" max="480" width="26.33203125" customWidth="1"/>
    <col min="481" max="481" width="25.6640625" customWidth="1"/>
    <col min="482" max="482" width="16.21875" customWidth="1"/>
    <col min="483" max="483" width="15.5546875" customWidth="1"/>
    <col min="484" max="484" width="26.33203125" customWidth="1"/>
    <col min="485" max="485" width="25.6640625" customWidth="1"/>
    <col min="486" max="486" width="16.21875" customWidth="1"/>
    <col min="487" max="487" width="15.5546875" customWidth="1"/>
    <col min="488" max="488" width="26.33203125" customWidth="1"/>
    <col min="489" max="489" width="25.6640625" customWidth="1"/>
    <col min="490" max="490" width="16.21875" customWidth="1"/>
    <col min="491" max="491" width="15.5546875" customWidth="1"/>
    <col min="492" max="492" width="26.33203125" customWidth="1"/>
    <col min="493" max="493" width="25.6640625" customWidth="1"/>
    <col min="494" max="494" width="16.21875" customWidth="1"/>
    <col min="495" max="495" width="15.5546875" customWidth="1"/>
    <col min="496" max="496" width="26.33203125" customWidth="1"/>
    <col min="497" max="497" width="25.6640625" customWidth="1"/>
    <col min="498" max="498" width="16.21875" customWidth="1"/>
    <col min="499" max="499" width="15.5546875" customWidth="1"/>
    <col min="500" max="500" width="26.33203125" customWidth="1"/>
    <col min="501" max="501" width="25.6640625" customWidth="1"/>
    <col min="502" max="502" width="16.21875" customWidth="1"/>
    <col min="503" max="503" width="15.5546875" customWidth="1"/>
    <col min="504" max="504" width="26.33203125" customWidth="1"/>
    <col min="505" max="505" width="25.6640625" customWidth="1"/>
    <col min="506" max="506" width="16.21875" customWidth="1"/>
    <col min="507" max="507" width="15.5546875" customWidth="1"/>
    <col min="508" max="508" width="26.33203125" customWidth="1"/>
    <col min="509" max="509" width="25.6640625" customWidth="1"/>
    <col min="510" max="510" width="16.21875" customWidth="1"/>
    <col min="511" max="511" width="15.5546875" customWidth="1"/>
    <col min="512" max="512" width="26.33203125" customWidth="1"/>
    <col min="513" max="513" width="25.6640625" customWidth="1"/>
    <col min="514" max="514" width="16.21875" customWidth="1"/>
    <col min="515" max="515" width="15.5546875" customWidth="1"/>
    <col min="516" max="516" width="26.33203125" customWidth="1"/>
    <col min="517" max="517" width="25.6640625" customWidth="1"/>
    <col min="518" max="518" width="16.21875" customWidth="1"/>
    <col min="519" max="519" width="15.5546875" customWidth="1"/>
    <col min="520" max="520" width="26.33203125" customWidth="1"/>
    <col min="521" max="521" width="25.6640625" customWidth="1"/>
    <col min="522" max="522" width="16.21875" customWidth="1"/>
    <col min="523" max="523" width="15.5546875" customWidth="1"/>
    <col min="524" max="524" width="26.33203125" customWidth="1"/>
    <col min="525" max="525" width="25.6640625" customWidth="1"/>
    <col min="526" max="526" width="16.21875" customWidth="1"/>
    <col min="527" max="527" width="15.5546875" customWidth="1"/>
    <col min="528" max="528" width="26.33203125" customWidth="1"/>
    <col min="529" max="529" width="25.6640625" customWidth="1"/>
    <col min="530" max="530" width="16.21875" customWidth="1"/>
    <col min="531" max="531" width="15.5546875" customWidth="1"/>
    <col min="532" max="532" width="26.33203125" customWidth="1"/>
    <col min="533" max="533" width="25.6640625" customWidth="1"/>
    <col min="534" max="534" width="16.21875" customWidth="1"/>
    <col min="535" max="535" width="15.5546875" customWidth="1"/>
    <col min="536" max="536" width="26.33203125" customWidth="1"/>
    <col min="537" max="537" width="25.6640625" customWidth="1"/>
    <col min="538" max="538" width="16.21875" customWidth="1"/>
    <col min="539" max="539" width="15.5546875" customWidth="1"/>
    <col min="540" max="540" width="26.33203125" customWidth="1"/>
    <col min="541" max="541" width="25.6640625" customWidth="1"/>
    <col min="542" max="542" width="16.21875" customWidth="1"/>
    <col min="543" max="543" width="15.5546875" customWidth="1"/>
    <col min="544" max="544" width="26.33203125" customWidth="1"/>
    <col min="545" max="545" width="25.6640625" customWidth="1"/>
    <col min="546" max="546" width="16.21875" customWidth="1"/>
    <col min="547" max="547" width="15.5546875" customWidth="1"/>
    <col min="548" max="548" width="26.33203125" customWidth="1"/>
    <col min="549" max="549" width="25.6640625" customWidth="1"/>
    <col min="550" max="550" width="16.21875" customWidth="1"/>
    <col min="551" max="551" width="15.5546875" customWidth="1"/>
    <col min="552" max="552" width="26.33203125" customWidth="1"/>
    <col min="553" max="553" width="25.6640625" customWidth="1"/>
    <col min="554" max="554" width="16.21875" customWidth="1"/>
    <col min="555" max="555" width="15.5546875" customWidth="1"/>
    <col min="556" max="556" width="26.33203125" customWidth="1"/>
    <col min="557" max="557" width="25.6640625" customWidth="1"/>
    <col min="558" max="558" width="16.21875" customWidth="1"/>
    <col min="559" max="559" width="15.5546875" customWidth="1"/>
    <col min="560" max="560" width="26.33203125" customWidth="1"/>
    <col min="561" max="561" width="25.6640625" customWidth="1"/>
    <col min="562" max="562" width="16.21875" customWidth="1"/>
    <col min="563" max="563" width="15.5546875" customWidth="1"/>
    <col min="564" max="564" width="26.33203125" customWidth="1"/>
    <col min="565" max="565" width="25.6640625" customWidth="1"/>
    <col min="566" max="566" width="16.21875" customWidth="1"/>
    <col min="567" max="567" width="15.5546875" customWidth="1"/>
    <col min="568" max="568" width="26.33203125" customWidth="1"/>
    <col min="569" max="569" width="25.6640625" customWidth="1"/>
    <col min="570" max="570" width="16.21875" customWidth="1"/>
    <col min="571" max="571" width="15.5546875" customWidth="1"/>
    <col min="572" max="572" width="26.33203125" customWidth="1"/>
    <col min="573" max="573" width="25.6640625" customWidth="1"/>
    <col min="574" max="574" width="16.21875" customWidth="1"/>
    <col min="575" max="575" width="15.5546875" customWidth="1"/>
    <col min="576" max="576" width="26.33203125" customWidth="1"/>
    <col min="577" max="577" width="25.6640625" customWidth="1"/>
    <col min="578" max="578" width="16.21875" customWidth="1"/>
    <col min="579" max="579" width="15.5546875" customWidth="1"/>
    <col min="580" max="580" width="26.33203125" customWidth="1"/>
    <col min="581" max="581" width="25.6640625" customWidth="1"/>
    <col min="582" max="582" width="16.21875" customWidth="1"/>
    <col min="583" max="583" width="15.5546875" customWidth="1"/>
    <col min="584" max="584" width="26.33203125" customWidth="1"/>
    <col min="585" max="585" width="25.6640625" customWidth="1"/>
    <col min="586" max="586" width="16.21875" customWidth="1"/>
    <col min="587" max="587" width="15.5546875" customWidth="1"/>
    <col min="588" max="588" width="26.33203125" customWidth="1"/>
    <col min="589" max="589" width="25.6640625" customWidth="1"/>
    <col min="590" max="590" width="16.21875" customWidth="1"/>
    <col min="591" max="591" width="15.5546875" customWidth="1"/>
    <col min="592" max="592" width="26.33203125" customWidth="1"/>
    <col min="593" max="593" width="25.6640625" customWidth="1"/>
    <col min="594" max="594" width="16.21875" customWidth="1"/>
    <col min="595" max="595" width="15.5546875" customWidth="1"/>
    <col min="596" max="596" width="26.33203125" customWidth="1"/>
    <col min="597" max="597" width="25.6640625" customWidth="1"/>
    <col min="598" max="598" width="16.21875" customWidth="1"/>
    <col min="599" max="599" width="15.5546875" customWidth="1"/>
    <col min="600" max="600" width="26.33203125" customWidth="1"/>
    <col min="601" max="601" width="25.6640625" customWidth="1"/>
    <col min="602" max="602" width="16.21875" customWidth="1"/>
    <col min="603" max="603" width="15.5546875" customWidth="1"/>
    <col min="604" max="604" width="26.33203125" customWidth="1"/>
    <col min="605" max="605" width="25.6640625" customWidth="1"/>
    <col min="606" max="606" width="16.21875" customWidth="1"/>
    <col min="607" max="607" width="15.5546875" customWidth="1"/>
    <col min="608" max="608" width="26.33203125" customWidth="1"/>
    <col min="609" max="609" width="25.6640625" customWidth="1"/>
    <col min="610" max="610" width="16.21875" customWidth="1"/>
    <col min="611" max="611" width="15.5546875" customWidth="1"/>
    <col min="612" max="612" width="26.33203125" customWidth="1"/>
    <col min="613" max="613" width="25.6640625" customWidth="1"/>
    <col min="614" max="614" width="16.21875" customWidth="1"/>
    <col min="615" max="615" width="15.5546875" customWidth="1"/>
    <col min="616" max="616" width="26.33203125" customWidth="1"/>
    <col min="617" max="617" width="25.6640625" customWidth="1"/>
    <col min="618" max="618" width="16.21875" customWidth="1"/>
    <col min="619" max="619" width="15.5546875" customWidth="1"/>
    <col min="620" max="620" width="26.33203125" customWidth="1"/>
    <col min="621" max="621" width="25.6640625" customWidth="1"/>
    <col min="622" max="622" width="16.21875" customWidth="1"/>
    <col min="623" max="623" width="15.5546875" customWidth="1"/>
    <col min="624" max="624" width="26.33203125" customWidth="1"/>
    <col min="625" max="625" width="25.6640625" customWidth="1"/>
    <col min="626" max="626" width="16.21875" customWidth="1"/>
    <col min="627" max="627" width="15.5546875" customWidth="1"/>
    <col min="628" max="628" width="26.33203125" customWidth="1"/>
    <col min="629" max="629" width="25.6640625" customWidth="1"/>
    <col min="630" max="630" width="16.21875" customWidth="1"/>
    <col min="631" max="631" width="15.5546875" customWidth="1"/>
    <col min="632" max="632" width="26.33203125" customWidth="1"/>
    <col min="633" max="633" width="25.6640625" customWidth="1"/>
    <col min="634" max="634" width="16.21875" customWidth="1"/>
    <col min="635" max="635" width="15.5546875" customWidth="1"/>
    <col min="636" max="636" width="26.33203125" customWidth="1"/>
    <col min="637" max="637" width="25.6640625" customWidth="1"/>
    <col min="638" max="638" width="16.21875" customWidth="1"/>
    <col min="639" max="639" width="15.5546875" customWidth="1"/>
    <col min="640" max="640" width="26.33203125" customWidth="1"/>
    <col min="641" max="641" width="25.6640625" customWidth="1"/>
    <col min="642" max="642" width="16.21875" customWidth="1"/>
    <col min="643" max="643" width="15.5546875" customWidth="1"/>
    <col min="644" max="644" width="26.33203125" customWidth="1"/>
    <col min="645" max="645" width="25.6640625" customWidth="1"/>
    <col min="646" max="646" width="16.21875" customWidth="1"/>
    <col min="647" max="647" width="15.5546875" customWidth="1"/>
    <col min="648" max="648" width="26.33203125" customWidth="1"/>
    <col min="649" max="649" width="25.6640625" customWidth="1"/>
    <col min="650" max="650" width="16.21875" customWidth="1"/>
    <col min="651" max="651" width="15.5546875" customWidth="1"/>
    <col min="652" max="652" width="26.33203125" customWidth="1"/>
    <col min="653" max="653" width="25.6640625" customWidth="1"/>
    <col min="654" max="654" width="16.21875" customWidth="1"/>
    <col min="655" max="655" width="15.5546875" customWidth="1"/>
    <col min="656" max="656" width="26.33203125" customWidth="1"/>
    <col min="657" max="657" width="25.6640625" customWidth="1"/>
    <col min="658" max="658" width="16.21875" customWidth="1"/>
    <col min="659" max="659" width="15.5546875" customWidth="1"/>
    <col min="660" max="660" width="26.33203125" customWidth="1"/>
    <col min="661" max="661" width="25.6640625" customWidth="1"/>
    <col min="662" max="662" width="16.21875" customWidth="1"/>
    <col min="663" max="663" width="15.5546875" customWidth="1"/>
    <col min="664" max="664" width="26.33203125" customWidth="1"/>
    <col min="665" max="665" width="25.6640625" customWidth="1"/>
    <col min="666" max="666" width="16.21875" customWidth="1"/>
    <col min="667" max="667" width="15.5546875" customWidth="1"/>
    <col min="668" max="668" width="26.33203125" customWidth="1"/>
    <col min="669" max="669" width="25.6640625" customWidth="1"/>
    <col min="670" max="670" width="16.21875" customWidth="1"/>
    <col min="671" max="671" width="15.5546875" customWidth="1"/>
    <col min="672" max="672" width="26.33203125" customWidth="1"/>
    <col min="673" max="673" width="25.6640625" customWidth="1"/>
    <col min="674" max="674" width="16.21875" customWidth="1"/>
    <col min="675" max="675" width="15.5546875" customWidth="1"/>
    <col min="676" max="676" width="26.33203125" customWidth="1"/>
    <col min="677" max="677" width="25.6640625" customWidth="1"/>
    <col min="678" max="678" width="16.21875" customWidth="1"/>
    <col min="679" max="679" width="15.5546875" customWidth="1"/>
    <col min="680" max="680" width="26.33203125" customWidth="1"/>
    <col min="681" max="681" width="25.6640625" customWidth="1"/>
    <col min="682" max="682" width="16.21875" customWidth="1"/>
    <col min="683" max="683" width="15.5546875" customWidth="1"/>
    <col min="684" max="684" width="26.33203125" customWidth="1"/>
    <col min="685" max="685" width="25.6640625" customWidth="1"/>
    <col min="686" max="686" width="16.21875" customWidth="1"/>
    <col min="687" max="687" width="15.5546875" customWidth="1"/>
    <col min="688" max="688" width="26.33203125" customWidth="1"/>
    <col min="689" max="689" width="25.6640625" customWidth="1"/>
    <col min="690" max="690" width="16.21875" customWidth="1"/>
    <col min="691" max="691" width="15.5546875" customWidth="1"/>
    <col min="692" max="692" width="26.33203125" customWidth="1"/>
    <col min="693" max="693" width="25.6640625" customWidth="1"/>
    <col min="694" max="694" width="16.21875" customWidth="1"/>
    <col min="695" max="695" width="15.5546875" customWidth="1"/>
    <col min="696" max="696" width="26.33203125" customWidth="1"/>
    <col min="697" max="697" width="25.6640625" customWidth="1"/>
    <col min="698" max="698" width="16.21875" customWidth="1"/>
    <col min="699" max="699" width="15.5546875" customWidth="1"/>
    <col min="700" max="700" width="26.33203125" customWidth="1"/>
    <col min="701" max="701" width="25.6640625" customWidth="1"/>
    <col min="702" max="702" width="16.21875" customWidth="1"/>
    <col min="703" max="703" width="15.5546875" customWidth="1"/>
    <col min="704" max="704" width="26.33203125" customWidth="1"/>
    <col min="705" max="705" width="25.6640625" customWidth="1"/>
    <col min="706" max="706" width="16.21875" customWidth="1"/>
    <col min="707" max="707" width="15.5546875" customWidth="1"/>
    <col min="708" max="708" width="26.33203125" customWidth="1"/>
    <col min="709" max="709" width="25.6640625" customWidth="1"/>
    <col min="710" max="710" width="16.21875" customWidth="1"/>
    <col min="711" max="711" width="15.5546875" customWidth="1"/>
    <col min="712" max="712" width="26.33203125" customWidth="1"/>
    <col min="713" max="713" width="25.6640625" customWidth="1"/>
    <col min="714" max="714" width="16.21875" customWidth="1"/>
    <col min="715" max="715" width="15.5546875" customWidth="1"/>
    <col min="716" max="716" width="26.33203125" customWidth="1"/>
    <col min="717" max="717" width="25.6640625" customWidth="1"/>
    <col min="718" max="718" width="16.21875" customWidth="1"/>
    <col min="719" max="719" width="15.5546875" customWidth="1"/>
    <col min="720" max="720" width="26.33203125" customWidth="1"/>
    <col min="721" max="721" width="25.6640625" customWidth="1"/>
    <col min="722" max="722" width="16.21875" customWidth="1"/>
    <col min="723" max="723" width="15.5546875" customWidth="1"/>
    <col min="724" max="724" width="26.33203125" customWidth="1"/>
    <col min="725" max="725" width="25.6640625" customWidth="1"/>
    <col min="726" max="726" width="16.21875" customWidth="1"/>
    <col min="727" max="727" width="15.5546875" customWidth="1"/>
    <col min="728" max="728" width="26.33203125" customWidth="1"/>
    <col min="729" max="729" width="25.6640625" customWidth="1"/>
    <col min="730" max="730" width="16.21875" customWidth="1"/>
    <col min="731" max="731" width="15.5546875" customWidth="1"/>
    <col min="732" max="732" width="26.33203125" customWidth="1"/>
    <col min="733" max="733" width="25.6640625" customWidth="1"/>
    <col min="734" max="734" width="16.21875" customWidth="1"/>
    <col min="735" max="735" width="15.5546875" customWidth="1"/>
    <col min="736" max="736" width="26.33203125" customWidth="1"/>
    <col min="737" max="737" width="25.6640625" customWidth="1"/>
    <col min="738" max="738" width="16.21875" customWidth="1"/>
    <col min="739" max="739" width="15.5546875" customWidth="1"/>
    <col min="740" max="740" width="26.33203125" customWidth="1"/>
    <col min="741" max="741" width="25.6640625" customWidth="1"/>
    <col min="742" max="742" width="16.21875" customWidth="1"/>
    <col min="743" max="743" width="15.5546875" customWidth="1"/>
    <col min="744" max="744" width="26.33203125" customWidth="1"/>
    <col min="745" max="745" width="25.6640625" customWidth="1"/>
    <col min="746" max="746" width="16.21875" customWidth="1"/>
    <col min="747" max="747" width="15.5546875" customWidth="1"/>
    <col min="748" max="748" width="26.33203125" customWidth="1"/>
    <col min="749" max="749" width="25.6640625" customWidth="1"/>
    <col min="750" max="750" width="16.21875" customWidth="1"/>
    <col min="751" max="751" width="15.5546875" customWidth="1"/>
    <col min="752" max="752" width="26.33203125" customWidth="1"/>
    <col min="753" max="753" width="25.6640625" customWidth="1"/>
    <col min="754" max="754" width="16.21875" customWidth="1"/>
    <col min="755" max="755" width="15.5546875" customWidth="1"/>
    <col min="756" max="756" width="26.33203125" customWidth="1"/>
    <col min="757" max="757" width="25.6640625" customWidth="1"/>
    <col min="758" max="758" width="16.21875" customWidth="1"/>
    <col min="759" max="759" width="15.5546875" customWidth="1"/>
    <col min="760" max="760" width="26.33203125" customWidth="1"/>
    <col min="761" max="761" width="25.6640625" customWidth="1"/>
    <col min="762" max="762" width="16.21875" customWidth="1"/>
    <col min="763" max="763" width="15.5546875" customWidth="1"/>
    <col min="764" max="764" width="26.33203125" customWidth="1"/>
    <col min="765" max="765" width="25.6640625" customWidth="1"/>
    <col min="766" max="766" width="16.21875" customWidth="1"/>
    <col min="767" max="767" width="15.5546875" customWidth="1"/>
    <col min="768" max="768" width="26.33203125" customWidth="1"/>
    <col min="769" max="769" width="25.6640625" customWidth="1"/>
    <col min="770" max="770" width="16.21875" customWidth="1"/>
    <col min="771" max="771" width="15.5546875" customWidth="1"/>
    <col min="772" max="772" width="26.33203125" customWidth="1"/>
    <col min="773" max="773" width="25.6640625" customWidth="1"/>
    <col min="774" max="774" width="16.21875" customWidth="1"/>
    <col min="775" max="775" width="15.5546875" customWidth="1"/>
    <col min="776" max="776" width="26.33203125" customWidth="1"/>
    <col min="777" max="777" width="25.6640625" customWidth="1"/>
    <col min="778" max="778" width="16.21875" customWidth="1"/>
    <col min="779" max="779" width="15.5546875" customWidth="1"/>
    <col min="780" max="780" width="26.33203125" customWidth="1"/>
    <col min="781" max="781" width="25.6640625" customWidth="1"/>
    <col min="782" max="782" width="16.21875" customWidth="1"/>
    <col min="783" max="783" width="15.5546875" customWidth="1"/>
    <col min="784" max="784" width="26.33203125" customWidth="1"/>
    <col min="785" max="785" width="25.6640625" customWidth="1"/>
    <col min="786" max="786" width="16.21875" customWidth="1"/>
    <col min="787" max="787" width="15.5546875" customWidth="1"/>
    <col min="788" max="788" width="26.33203125" customWidth="1"/>
    <col min="789" max="789" width="25.6640625" customWidth="1"/>
    <col min="790" max="790" width="16.21875" customWidth="1"/>
    <col min="791" max="791" width="15.5546875" customWidth="1"/>
    <col min="792" max="792" width="26.33203125" customWidth="1"/>
    <col min="793" max="793" width="25.6640625" customWidth="1"/>
    <col min="794" max="794" width="16.21875" customWidth="1"/>
    <col min="795" max="795" width="15.5546875" customWidth="1"/>
    <col min="796" max="796" width="26.33203125" customWidth="1"/>
    <col min="797" max="797" width="25.6640625" customWidth="1"/>
    <col min="798" max="798" width="16.21875" customWidth="1"/>
    <col min="799" max="799" width="15.5546875" customWidth="1"/>
    <col min="800" max="800" width="26.33203125" customWidth="1"/>
    <col min="801" max="801" width="25.6640625" customWidth="1"/>
    <col min="802" max="802" width="16.21875" customWidth="1"/>
    <col min="803" max="803" width="15.5546875" customWidth="1"/>
    <col min="804" max="804" width="22.88671875" customWidth="1"/>
    <col min="805" max="805" width="22.21875" customWidth="1"/>
    <col min="806" max="806" width="21" customWidth="1"/>
    <col min="807" max="807" width="20.33203125" customWidth="1"/>
    <col min="808" max="808" width="15.5546875" bestFit="1" customWidth="1"/>
    <col min="809" max="809" width="30.6640625" bestFit="1" customWidth="1"/>
    <col min="810" max="810" width="26.33203125" bestFit="1" customWidth="1"/>
    <col min="811" max="811" width="25.6640625" bestFit="1" customWidth="1"/>
    <col min="812" max="812" width="20.5546875" bestFit="1" customWidth="1"/>
    <col min="813" max="813" width="16.21875" bestFit="1" customWidth="1"/>
    <col min="814" max="814" width="15.5546875" bestFit="1" customWidth="1"/>
    <col min="815" max="815" width="30.6640625" bestFit="1" customWidth="1"/>
    <col min="816" max="816" width="26.33203125" bestFit="1" customWidth="1"/>
    <col min="817" max="817" width="25.6640625" bestFit="1" customWidth="1"/>
    <col min="818" max="818" width="20.5546875" bestFit="1" customWidth="1"/>
    <col min="819" max="819" width="16.21875" bestFit="1" customWidth="1"/>
    <col min="820" max="820" width="15.5546875" bestFit="1" customWidth="1"/>
    <col min="821" max="821" width="30.6640625" bestFit="1" customWidth="1"/>
    <col min="822" max="822" width="26.33203125" bestFit="1" customWidth="1"/>
    <col min="823" max="823" width="25.6640625" bestFit="1" customWidth="1"/>
    <col min="824" max="824" width="20.5546875" bestFit="1" customWidth="1"/>
    <col min="825" max="825" width="16.21875" bestFit="1" customWidth="1"/>
    <col min="826" max="826" width="15.5546875" bestFit="1" customWidth="1"/>
    <col min="827" max="827" width="30.6640625" bestFit="1" customWidth="1"/>
    <col min="828" max="828" width="26.33203125" bestFit="1" customWidth="1"/>
    <col min="829" max="829" width="25.6640625" bestFit="1" customWidth="1"/>
    <col min="830" max="830" width="20.5546875" bestFit="1" customWidth="1"/>
    <col min="831" max="831" width="16.21875" bestFit="1" customWidth="1"/>
    <col min="832" max="832" width="15.5546875" bestFit="1" customWidth="1"/>
    <col min="833" max="833" width="30.6640625" bestFit="1" customWidth="1"/>
    <col min="834" max="834" width="26.33203125" bestFit="1" customWidth="1"/>
    <col min="835" max="835" width="25.6640625" bestFit="1" customWidth="1"/>
    <col min="836" max="836" width="20.5546875" bestFit="1" customWidth="1"/>
    <col min="837" max="837" width="16.21875" bestFit="1" customWidth="1"/>
    <col min="838" max="838" width="15.5546875" bestFit="1" customWidth="1"/>
    <col min="839" max="839" width="30.6640625" bestFit="1" customWidth="1"/>
    <col min="840" max="840" width="26.33203125" bestFit="1" customWidth="1"/>
    <col min="841" max="841" width="25.6640625" bestFit="1" customWidth="1"/>
    <col min="842" max="842" width="20.5546875" bestFit="1" customWidth="1"/>
    <col min="843" max="843" width="16.21875" bestFit="1" customWidth="1"/>
    <col min="844" max="844" width="15.5546875" bestFit="1" customWidth="1"/>
    <col min="845" max="845" width="30.6640625" bestFit="1" customWidth="1"/>
    <col min="846" max="846" width="26.33203125" bestFit="1" customWidth="1"/>
    <col min="847" max="847" width="25.6640625" bestFit="1" customWidth="1"/>
    <col min="848" max="848" width="20.5546875" bestFit="1" customWidth="1"/>
    <col min="849" max="849" width="16.21875" bestFit="1" customWidth="1"/>
    <col min="850" max="850" width="15.5546875" bestFit="1" customWidth="1"/>
    <col min="851" max="851" width="30.6640625" bestFit="1" customWidth="1"/>
    <col min="852" max="852" width="26.33203125" bestFit="1" customWidth="1"/>
    <col min="853" max="853" width="25.6640625" bestFit="1" customWidth="1"/>
    <col min="854" max="854" width="20.5546875" bestFit="1" customWidth="1"/>
    <col min="855" max="855" width="16.21875" bestFit="1" customWidth="1"/>
    <col min="856" max="856" width="15.5546875" bestFit="1" customWidth="1"/>
    <col min="857" max="857" width="30.6640625" bestFit="1" customWidth="1"/>
    <col min="858" max="858" width="26.33203125" bestFit="1" customWidth="1"/>
    <col min="859" max="859" width="25.6640625" bestFit="1" customWidth="1"/>
    <col min="860" max="860" width="20.5546875" bestFit="1" customWidth="1"/>
    <col min="861" max="861" width="16.21875" bestFit="1" customWidth="1"/>
    <col min="862" max="862" width="15.5546875" bestFit="1" customWidth="1"/>
    <col min="863" max="863" width="30.6640625" bestFit="1" customWidth="1"/>
    <col min="864" max="864" width="26.33203125" bestFit="1" customWidth="1"/>
    <col min="865" max="865" width="25.6640625" bestFit="1" customWidth="1"/>
    <col min="866" max="866" width="20.5546875" bestFit="1" customWidth="1"/>
    <col min="867" max="867" width="16.21875" bestFit="1" customWidth="1"/>
    <col min="868" max="868" width="15.5546875" bestFit="1" customWidth="1"/>
    <col min="869" max="869" width="30.6640625" bestFit="1" customWidth="1"/>
    <col min="870" max="870" width="26.33203125" bestFit="1" customWidth="1"/>
    <col min="871" max="871" width="25.6640625" bestFit="1" customWidth="1"/>
    <col min="872" max="872" width="20.5546875" bestFit="1" customWidth="1"/>
    <col min="873" max="873" width="16.21875" bestFit="1" customWidth="1"/>
    <col min="874" max="874" width="15.5546875" bestFit="1" customWidth="1"/>
    <col min="875" max="875" width="30.6640625" bestFit="1" customWidth="1"/>
    <col min="876" max="876" width="26.33203125" bestFit="1" customWidth="1"/>
    <col min="877" max="877" width="25.6640625" bestFit="1" customWidth="1"/>
    <col min="878" max="878" width="20.5546875" bestFit="1" customWidth="1"/>
    <col min="879" max="879" width="16.21875" bestFit="1" customWidth="1"/>
    <col min="880" max="880" width="15.5546875" bestFit="1" customWidth="1"/>
    <col min="881" max="881" width="30.6640625" bestFit="1" customWidth="1"/>
    <col min="882" max="882" width="26.33203125" bestFit="1" customWidth="1"/>
    <col min="883" max="883" width="25.6640625" bestFit="1" customWidth="1"/>
    <col min="884" max="884" width="20.5546875" bestFit="1" customWidth="1"/>
    <col min="885" max="885" width="16.21875" bestFit="1" customWidth="1"/>
    <col min="886" max="886" width="15.5546875" bestFit="1" customWidth="1"/>
    <col min="887" max="887" width="30.6640625" bestFit="1" customWidth="1"/>
    <col min="888" max="888" width="26.33203125" bestFit="1" customWidth="1"/>
    <col min="889" max="889" width="25.6640625" bestFit="1" customWidth="1"/>
    <col min="890" max="890" width="20.5546875" bestFit="1" customWidth="1"/>
    <col min="891" max="891" width="16.21875" bestFit="1" customWidth="1"/>
    <col min="892" max="892" width="15.5546875" bestFit="1" customWidth="1"/>
    <col min="893" max="893" width="30.6640625" bestFit="1" customWidth="1"/>
    <col min="894" max="894" width="26.33203125" bestFit="1" customWidth="1"/>
    <col min="895" max="895" width="25.6640625" bestFit="1" customWidth="1"/>
    <col min="896" max="896" width="20.5546875" bestFit="1" customWidth="1"/>
    <col min="897" max="897" width="16.21875" bestFit="1" customWidth="1"/>
    <col min="898" max="898" width="15.5546875" bestFit="1" customWidth="1"/>
    <col min="899" max="899" width="30.6640625" bestFit="1" customWidth="1"/>
    <col min="900" max="900" width="26.33203125" bestFit="1" customWidth="1"/>
    <col min="901" max="901" width="25.6640625" bestFit="1" customWidth="1"/>
    <col min="902" max="902" width="20.5546875" bestFit="1" customWidth="1"/>
    <col min="903" max="903" width="16.21875" bestFit="1" customWidth="1"/>
    <col min="904" max="904" width="15.5546875" bestFit="1" customWidth="1"/>
    <col min="905" max="905" width="30.6640625" bestFit="1" customWidth="1"/>
    <col min="906" max="906" width="26.33203125" bestFit="1" customWidth="1"/>
    <col min="907" max="907" width="25.6640625" bestFit="1" customWidth="1"/>
    <col min="908" max="908" width="20.5546875" bestFit="1" customWidth="1"/>
    <col min="909" max="909" width="16.21875" bestFit="1" customWidth="1"/>
    <col min="910" max="910" width="15.5546875" bestFit="1" customWidth="1"/>
    <col min="911" max="911" width="30.6640625" bestFit="1" customWidth="1"/>
    <col min="912" max="912" width="26.33203125" bestFit="1" customWidth="1"/>
    <col min="913" max="913" width="25.6640625" bestFit="1" customWidth="1"/>
    <col min="914" max="914" width="20.5546875" bestFit="1" customWidth="1"/>
    <col min="915" max="915" width="16.21875" bestFit="1" customWidth="1"/>
    <col min="916" max="916" width="15.5546875" bestFit="1" customWidth="1"/>
    <col min="917" max="917" width="30.6640625" bestFit="1" customWidth="1"/>
    <col min="918" max="918" width="26.33203125" bestFit="1" customWidth="1"/>
    <col min="919" max="919" width="25.6640625" bestFit="1" customWidth="1"/>
    <col min="920" max="920" width="20.5546875" bestFit="1" customWidth="1"/>
    <col min="921" max="921" width="16.21875" bestFit="1" customWidth="1"/>
    <col min="922" max="922" width="15.5546875" bestFit="1" customWidth="1"/>
    <col min="923" max="923" width="30.6640625" bestFit="1" customWidth="1"/>
    <col min="924" max="924" width="26.33203125" bestFit="1" customWidth="1"/>
    <col min="925" max="925" width="25.6640625" bestFit="1" customWidth="1"/>
    <col min="926" max="926" width="20.5546875" bestFit="1" customWidth="1"/>
    <col min="927" max="927" width="16.21875" bestFit="1" customWidth="1"/>
    <col min="928" max="928" width="15.5546875" bestFit="1" customWidth="1"/>
    <col min="929" max="929" width="30.6640625" bestFit="1" customWidth="1"/>
    <col min="930" max="930" width="26.33203125" bestFit="1" customWidth="1"/>
    <col min="931" max="931" width="25.6640625" bestFit="1" customWidth="1"/>
    <col min="932" max="932" width="20.5546875" bestFit="1" customWidth="1"/>
    <col min="933" max="933" width="16.21875" bestFit="1" customWidth="1"/>
    <col min="934" max="934" width="15.5546875" bestFit="1" customWidth="1"/>
    <col min="935" max="935" width="30.6640625" bestFit="1" customWidth="1"/>
    <col min="936" max="936" width="26.33203125" bestFit="1" customWidth="1"/>
    <col min="937" max="937" width="25.6640625" bestFit="1" customWidth="1"/>
    <col min="938" max="938" width="20.5546875" bestFit="1" customWidth="1"/>
    <col min="939" max="939" width="16.21875" bestFit="1" customWidth="1"/>
    <col min="940" max="940" width="15.5546875" bestFit="1" customWidth="1"/>
    <col min="941" max="941" width="30.6640625" bestFit="1" customWidth="1"/>
    <col min="942" max="942" width="26.33203125" bestFit="1" customWidth="1"/>
    <col min="943" max="943" width="25.6640625" bestFit="1" customWidth="1"/>
    <col min="944" max="944" width="20.5546875" bestFit="1" customWidth="1"/>
    <col min="945" max="945" width="16.21875" bestFit="1" customWidth="1"/>
    <col min="946" max="946" width="15.5546875" bestFit="1" customWidth="1"/>
    <col min="947" max="947" width="30.6640625" bestFit="1" customWidth="1"/>
    <col min="948" max="948" width="26.33203125" bestFit="1" customWidth="1"/>
    <col min="949" max="949" width="25.6640625" bestFit="1" customWidth="1"/>
    <col min="950" max="950" width="20.5546875" bestFit="1" customWidth="1"/>
    <col min="951" max="951" width="16.21875" bestFit="1" customWidth="1"/>
    <col min="952" max="952" width="15.5546875" bestFit="1" customWidth="1"/>
    <col min="953" max="953" width="30.6640625" bestFit="1" customWidth="1"/>
    <col min="954" max="954" width="26.33203125" bestFit="1" customWidth="1"/>
    <col min="955" max="955" width="25.6640625" bestFit="1" customWidth="1"/>
    <col min="956" max="956" width="20.5546875" bestFit="1" customWidth="1"/>
    <col min="957" max="957" width="16.21875" bestFit="1" customWidth="1"/>
    <col min="958" max="958" width="15.5546875" bestFit="1" customWidth="1"/>
    <col min="959" max="959" width="30.6640625" bestFit="1" customWidth="1"/>
    <col min="960" max="960" width="26.33203125" bestFit="1" customWidth="1"/>
    <col min="961" max="961" width="25.6640625" bestFit="1" customWidth="1"/>
    <col min="962" max="962" width="20.5546875" bestFit="1" customWidth="1"/>
    <col min="963" max="963" width="16.21875" bestFit="1" customWidth="1"/>
    <col min="964" max="964" width="15.5546875" bestFit="1" customWidth="1"/>
    <col min="965" max="965" width="30.6640625" bestFit="1" customWidth="1"/>
    <col min="966" max="966" width="26.33203125" bestFit="1" customWidth="1"/>
    <col min="967" max="967" width="25.6640625" bestFit="1" customWidth="1"/>
    <col min="968" max="968" width="20.5546875" bestFit="1" customWidth="1"/>
    <col min="969" max="969" width="16.21875" bestFit="1" customWidth="1"/>
    <col min="970" max="970" width="15.5546875" bestFit="1" customWidth="1"/>
    <col min="971" max="971" width="30.6640625" bestFit="1" customWidth="1"/>
    <col min="972" max="972" width="26.33203125" bestFit="1" customWidth="1"/>
    <col min="973" max="973" width="25.6640625" bestFit="1" customWidth="1"/>
    <col min="974" max="974" width="20.5546875" bestFit="1" customWidth="1"/>
    <col min="975" max="975" width="16.21875" bestFit="1" customWidth="1"/>
    <col min="976" max="976" width="15.5546875" bestFit="1" customWidth="1"/>
    <col min="977" max="977" width="30.6640625" bestFit="1" customWidth="1"/>
    <col min="978" max="978" width="26.33203125" bestFit="1" customWidth="1"/>
    <col min="979" max="979" width="25.6640625" bestFit="1" customWidth="1"/>
    <col min="980" max="980" width="20.5546875" bestFit="1" customWidth="1"/>
    <col min="981" max="981" width="16.21875" bestFit="1" customWidth="1"/>
    <col min="982" max="982" width="15.5546875" bestFit="1" customWidth="1"/>
    <col min="983" max="983" width="30.6640625" bestFit="1" customWidth="1"/>
    <col min="984" max="984" width="26.33203125" bestFit="1" customWidth="1"/>
    <col min="985" max="985" width="25.6640625" bestFit="1" customWidth="1"/>
    <col min="986" max="986" width="20.5546875" bestFit="1" customWidth="1"/>
    <col min="987" max="987" width="16.21875" bestFit="1" customWidth="1"/>
    <col min="988" max="988" width="15.5546875" bestFit="1" customWidth="1"/>
    <col min="989" max="989" width="30.6640625" bestFit="1" customWidth="1"/>
    <col min="990" max="990" width="26.33203125" bestFit="1" customWidth="1"/>
    <col min="991" max="991" width="25.6640625" bestFit="1" customWidth="1"/>
    <col min="992" max="992" width="20.5546875" bestFit="1" customWidth="1"/>
    <col min="993" max="993" width="16.21875" bestFit="1" customWidth="1"/>
    <col min="994" max="994" width="15.5546875" bestFit="1" customWidth="1"/>
    <col min="995" max="995" width="30.6640625" bestFit="1" customWidth="1"/>
    <col min="996" max="996" width="26.33203125" bestFit="1" customWidth="1"/>
    <col min="997" max="997" width="25.6640625" bestFit="1" customWidth="1"/>
    <col min="998" max="998" width="20.5546875" bestFit="1" customWidth="1"/>
    <col min="999" max="999" width="16.21875" bestFit="1" customWidth="1"/>
    <col min="1000" max="1000" width="15.5546875" bestFit="1" customWidth="1"/>
    <col min="1001" max="1001" width="30.6640625" bestFit="1" customWidth="1"/>
    <col min="1002" max="1002" width="26.33203125" bestFit="1" customWidth="1"/>
    <col min="1003" max="1003" width="25.6640625" bestFit="1" customWidth="1"/>
    <col min="1004" max="1004" width="20.5546875" bestFit="1" customWidth="1"/>
    <col min="1005" max="1005" width="16.21875" bestFit="1" customWidth="1"/>
    <col min="1006" max="1006" width="15.5546875" bestFit="1" customWidth="1"/>
    <col min="1007" max="1007" width="30.6640625" bestFit="1" customWidth="1"/>
    <col min="1008" max="1008" width="26.33203125" bestFit="1" customWidth="1"/>
    <col min="1009" max="1009" width="25.6640625" bestFit="1" customWidth="1"/>
    <col min="1010" max="1010" width="20.5546875" bestFit="1" customWidth="1"/>
    <col min="1011" max="1011" width="16.21875" bestFit="1" customWidth="1"/>
    <col min="1012" max="1012" width="15.5546875" bestFit="1" customWidth="1"/>
    <col min="1013" max="1013" width="30.6640625" bestFit="1" customWidth="1"/>
    <col min="1014" max="1014" width="26.33203125" bestFit="1" customWidth="1"/>
    <col min="1015" max="1015" width="25.6640625" bestFit="1" customWidth="1"/>
    <col min="1016" max="1016" width="20.5546875" bestFit="1" customWidth="1"/>
    <col min="1017" max="1017" width="16.21875" bestFit="1" customWidth="1"/>
    <col min="1018" max="1018" width="15.5546875" bestFit="1" customWidth="1"/>
    <col min="1019" max="1019" width="30.6640625" bestFit="1" customWidth="1"/>
    <col min="1020" max="1020" width="26.33203125" bestFit="1" customWidth="1"/>
    <col min="1021" max="1021" width="25.6640625" bestFit="1" customWidth="1"/>
    <col min="1022" max="1022" width="20.5546875" bestFit="1" customWidth="1"/>
    <col min="1023" max="1023" width="16.21875" bestFit="1" customWidth="1"/>
    <col min="1024" max="1024" width="15.5546875" bestFit="1" customWidth="1"/>
    <col min="1025" max="1025" width="30.6640625" bestFit="1" customWidth="1"/>
    <col min="1026" max="1026" width="26.33203125" bestFit="1" customWidth="1"/>
    <col min="1027" max="1027" width="25.6640625" bestFit="1" customWidth="1"/>
    <col min="1028" max="1028" width="20.5546875" bestFit="1" customWidth="1"/>
    <col min="1029" max="1029" width="16.21875" bestFit="1" customWidth="1"/>
    <col min="1030" max="1030" width="15.5546875" bestFit="1" customWidth="1"/>
    <col min="1031" max="1031" width="30.6640625" bestFit="1" customWidth="1"/>
    <col min="1032" max="1032" width="26.33203125" bestFit="1" customWidth="1"/>
    <col min="1033" max="1033" width="25.6640625" bestFit="1" customWidth="1"/>
    <col min="1034" max="1034" width="20.5546875" bestFit="1" customWidth="1"/>
    <col min="1035" max="1035" width="16.21875" bestFit="1" customWidth="1"/>
    <col min="1036" max="1036" width="15.5546875" bestFit="1" customWidth="1"/>
    <col min="1037" max="1037" width="30.6640625" bestFit="1" customWidth="1"/>
    <col min="1038" max="1038" width="26.33203125" bestFit="1" customWidth="1"/>
    <col min="1039" max="1039" width="25.6640625" bestFit="1" customWidth="1"/>
    <col min="1040" max="1040" width="20.5546875" bestFit="1" customWidth="1"/>
    <col min="1041" max="1041" width="16.21875" bestFit="1" customWidth="1"/>
    <col min="1042" max="1042" width="15.5546875" bestFit="1" customWidth="1"/>
    <col min="1043" max="1043" width="30.6640625" bestFit="1" customWidth="1"/>
    <col min="1044" max="1044" width="26.33203125" bestFit="1" customWidth="1"/>
    <col min="1045" max="1045" width="25.6640625" bestFit="1" customWidth="1"/>
    <col min="1046" max="1046" width="20.5546875" bestFit="1" customWidth="1"/>
    <col min="1047" max="1047" width="16.21875" bestFit="1" customWidth="1"/>
    <col min="1048" max="1048" width="15.5546875" bestFit="1" customWidth="1"/>
    <col min="1049" max="1049" width="30.6640625" bestFit="1" customWidth="1"/>
    <col min="1050" max="1050" width="26.33203125" bestFit="1" customWidth="1"/>
    <col min="1051" max="1051" width="25.6640625" bestFit="1" customWidth="1"/>
    <col min="1052" max="1052" width="20.5546875" bestFit="1" customWidth="1"/>
    <col min="1053" max="1053" width="16.21875" bestFit="1" customWidth="1"/>
    <col min="1054" max="1054" width="15.5546875" bestFit="1" customWidth="1"/>
    <col min="1055" max="1055" width="30.6640625" bestFit="1" customWidth="1"/>
    <col min="1056" max="1056" width="26.33203125" bestFit="1" customWidth="1"/>
    <col min="1057" max="1057" width="25.6640625" bestFit="1" customWidth="1"/>
    <col min="1058" max="1058" width="20.5546875" bestFit="1" customWidth="1"/>
    <col min="1059" max="1059" width="16.21875" bestFit="1" customWidth="1"/>
    <col min="1060" max="1060" width="15.5546875" bestFit="1" customWidth="1"/>
    <col min="1061" max="1061" width="30.6640625" bestFit="1" customWidth="1"/>
    <col min="1062" max="1062" width="26.33203125" bestFit="1" customWidth="1"/>
    <col min="1063" max="1063" width="25.6640625" bestFit="1" customWidth="1"/>
    <col min="1064" max="1064" width="20.5546875" bestFit="1" customWidth="1"/>
    <col min="1065" max="1065" width="16.21875" bestFit="1" customWidth="1"/>
    <col min="1066" max="1066" width="15.5546875" bestFit="1" customWidth="1"/>
    <col min="1067" max="1067" width="30.6640625" bestFit="1" customWidth="1"/>
    <col min="1068" max="1068" width="26.33203125" bestFit="1" customWidth="1"/>
    <col min="1069" max="1069" width="25.6640625" bestFit="1" customWidth="1"/>
    <col min="1070" max="1070" width="20.5546875" bestFit="1" customWidth="1"/>
    <col min="1071" max="1071" width="16.21875" bestFit="1" customWidth="1"/>
    <col min="1072" max="1072" width="15.5546875" bestFit="1" customWidth="1"/>
    <col min="1073" max="1073" width="30.6640625" bestFit="1" customWidth="1"/>
    <col min="1074" max="1074" width="26.33203125" bestFit="1" customWidth="1"/>
    <col min="1075" max="1075" width="25.6640625" bestFit="1" customWidth="1"/>
    <col min="1076" max="1076" width="20.5546875" bestFit="1" customWidth="1"/>
    <col min="1077" max="1077" width="16.21875" bestFit="1" customWidth="1"/>
    <col min="1078" max="1078" width="15.5546875" bestFit="1" customWidth="1"/>
    <col min="1079" max="1079" width="30.6640625" bestFit="1" customWidth="1"/>
    <col min="1080" max="1080" width="26.33203125" bestFit="1" customWidth="1"/>
    <col min="1081" max="1081" width="25.6640625" bestFit="1" customWidth="1"/>
    <col min="1082" max="1082" width="20.5546875" bestFit="1" customWidth="1"/>
    <col min="1083" max="1083" width="16.21875" bestFit="1" customWidth="1"/>
    <col min="1084" max="1084" width="15.5546875" bestFit="1" customWidth="1"/>
    <col min="1085" max="1085" width="30.6640625" bestFit="1" customWidth="1"/>
    <col min="1086" max="1086" width="26.33203125" bestFit="1" customWidth="1"/>
    <col min="1087" max="1087" width="25.6640625" bestFit="1" customWidth="1"/>
    <col min="1088" max="1088" width="20.5546875" bestFit="1" customWidth="1"/>
    <col min="1089" max="1089" width="16.21875" bestFit="1" customWidth="1"/>
    <col min="1090" max="1090" width="15.5546875" bestFit="1" customWidth="1"/>
    <col min="1091" max="1091" width="30.6640625" bestFit="1" customWidth="1"/>
    <col min="1092" max="1092" width="26.33203125" bestFit="1" customWidth="1"/>
    <col min="1093" max="1093" width="25.6640625" bestFit="1" customWidth="1"/>
    <col min="1094" max="1094" width="20.5546875" bestFit="1" customWidth="1"/>
    <col min="1095" max="1095" width="16.21875" bestFit="1" customWidth="1"/>
    <col min="1096" max="1096" width="15.5546875" bestFit="1" customWidth="1"/>
    <col min="1097" max="1097" width="30.6640625" bestFit="1" customWidth="1"/>
    <col min="1098" max="1098" width="26.33203125" bestFit="1" customWidth="1"/>
    <col min="1099" max="1099" width="25.6640625" bestFit="1" customWidth="1"/>
    <col min="1100" max="1100" width="20.5546875" bestFit="1" customWidth="1"/>
    <col min="1101" max="1101" width="16.21875" bestFit="1" customWidth="1"/>
    <col min="1102" max="1102" width="15.5546875" bestFit="1" customWidth="1"/>
    <col min="1103" max="1103" width="30.6640625" bestFit="1" customWidth="1"/>
    <col min="1104" max="1104" width="26.33203125" bestFit="1" customWidth="1"/>
    <col min="1105" max="1105" width="25.6640625" bestFit="1" customWidth="1"/>
    <col min="1106" max="1106" width="20.5546875" bestFit="1" customWidth="1"/>
    <col min="1107" max="1107" width="16.21875" bestFit="1" customWidth="1"/>
    <col min="1108" max="1108" width="15.5546875" bestFit="1" customWidth="1"/>
    <col min="1109" max="1109" width="30.6640625" bestFit="1" customWidth="1"/>
    <col min="1110" max="1110" width="26.33203125" bestFit="1" customWidth="1"/>
    <col min="1111" max="1111" width="25.6640625" bestFit="1" customWidth="1"/>
    <col min="1112" max="1112" width="20.5546875" bestFit="1" customWidth="1"/>
    <col min="1113" max="1113" width="16.21875" bestFit="1" customWidth="1"/>
    <col min="1114" max="1114" width="15.5546875" bestFit="1" customWidth="1"/>
    <col min="1115" max="1115" width="30.6640625" bestFit="1" customWidth="1"/>
    <col min="1116" max="1116" width="26.33203125" bestFit="1" customWidth="1"/>
    <col min="1117" max="1117" width="25.6640625" bestFit="1" customWidth="1"/>
    <col min="1118" max="1118" width="20.5546875" bestFit="1" customWidth="1"/>
    <col min="1119" max="1119" width="16.21875" bestFit="1" customWidth="1"/>
    <col min="1120" max="1120" width="15.5546875" bestFit="1" customWidth="1"/>
    <col min="1121" max="1121" width="30.6640625" bestFit="1" customWidth="1"/>
    <col min="1122" max="1122" width="26.33203125" bestFit="1" customWidth="1"/>
    <col min="1123" max="1123" width="25.6640625" bestFit="1" customWidth="1"/>
    <col min="1124" max="1124" width="20.5546875" bestFit="1" customWidth="1"/>
    <col min="1125" max="1125" width="16.21875" bestFit="1" customWidth="1"/>
    <col min="1126" max="1126" width="15.5546875" bestFit="1" customWidth="1"/>
    <col min="1127" max="1127" width="30.6640625" bestFit="1" customWidth="1"/>
    <col min="1128" max="1128" width="26.33203125" bestFit="1" customWidth="1"/>
    <col min="1129" max="1129" width="25.6640625" bestFit="1" customWidth="1"/>
    <col min="1130" max="1130" width="20.5546875" bestFit="1" customWidth="1"/>
    <col min="1131" max="1131" width="16.21875" bestFit="1" customWidth="1"/>
    <col min="1132" max="1132" width="15.5546875" bestFit="1" customWidth="1"/>
    <col min="1133" max="1133" width="30.6640625" bestFit="1" customWidth="1"/>
    <col min="1134" max="1134" width="26.33203125" bestFit="1" customWidth="1"/>
    <col min="1135" max="1135" width="25.6640625" bestFit="1" customWidth="1"/>
    <col min="1136" max="1136" width="20.5546875" bestFit="1" customWidth="1"/>
    <col min="1137" max="1137" width="16.21875" bestFit="1" customWidth="1"/>
    <col min="1138" max="1138" width="15.5546875" bestFit="1" customWidth="1"/>
    <col min="1139" max="1139" width="30.6640625" bestFit="1" customWidth="1"/>
    <col min="1140" max="1140" width="26.33203125" bestFit="1" customWidth="1"/>
    <col min="1141" max="1141" width="25.6640625" bestFit="1" customWidth="1"/>
    <col min="1142" max="1142" width="20.5546875" bestFit="1" customWidth="1"/>
    <col min="1143" max="1143" width="16.21875" bestFit="1" customWidth="1"/>
    <col min="1144" max="1144" width="15.5546875" bestFit="1" customWidth="1"/>
    <col min="1145" max="1145" width="30.6640625" bestFit="1" customWidth="1"/>
    <col min="1146" max="1146" width="26.33203125" bestFit="1" customWidth="1"/>
    <col min="1147" max="1147" width="25.6640625" bestFit="1" customWidth="1"/>
    <col min="1148" max="1148" width="20.5546875" bestFit="1" customWidth="1"/>
    <col min="1149" max="1149" width="16.21875" bestFit="1" customWidth="1"/>
    <col min="1150" max="1150" width="15.5546875" bestFit="1" customWidth="1"/>
    <col min="1151" max="1151" width="30.6640625" bestFit="1" customWidth="1"/>
    <col min="1152" max="1152" width="26.33203125" bestFit="1" customWidth="1"/>
    <col min="1153" max="1153" width="25.6640625" bestFit="1" customWidth="1"/>
    <col min="1154" max="1154" width="20.5546875" bestFit="1" customWidth="1"/>
    <col min="1155" max="1155" width="16.21875" bestFit="1" customWidth="1"/>
    <col min="1156" max="1156" width="15.5546875" bestFit="1" customWidth="1"/>
    <col min="1157" max="1157" width="30.6640625" bestFit="1" customWidth="1"/>
    <col min="1158" max="1158" width="26.33203125" bestFit="1" customWidth="1"/>
    <col min="1159" max="1159" width="25.6640625" bestFit="1" customWidth="1"/>
    <col min="1160" max="1160" width="20.5546875" bestFit="1" customWidth="1"/>
    <col min="1161" max="1161" width="16.21875" bestFit="1" customWidth="1"/>
    <col min="1162" max="1162" width="15.5546875" bestFit="1" customWidth="1"/>
    <col min="1163" max="1163" width="30.6640625" bestFit="1" customWidth="1"/>
    <col min="1164" max="1164" width="26.33203125" bestFit="1" customWidth="1"/>
    <col min="1165" max="1165" width="25.6640625" bestFit="1" customWidth="1"/>
    <col min="1166" max="1166" width="20.5546875" bestFit="1" customWidth="1"/>
    <col min="1167" max="1167" width="16.21875" bestFit="1" customWidth="1"/>
    <col min="1168" max="1168" width="15.5546875" bestFit="1" customWidth="1"/>
    <col min="1169" max="1169" width="30.6640625" bestFit="1" customWidth="1"/>
    <col min="1170" max="1170" width="26.33203125" bestFit="1" customWidth="1"/>
    <col min="1171" max="1171" width="25.6640625" bestFit="1" customWidth="1"/>
    <col min="1172" max="1172" width="20.5546875" bestFit="1" customWidth="1"/>
    <col min="1173" max="1173" width="16.21875" bestFit="1" customWidth="1"/>
    <col min="1174" max="1174" width="15.5546875" bestFit="1" customWidth="1"/>
    <col min="1175" max="1175" width="30.6640625" bestFit="1" customWidth="1"/>
    <col min="1176" max="1176" width="26.33203125" bestFit="1" customWidth="1"/>
    <col min="1177" max="1177" width="25.6640625" bestFit="1" customWidth="1"/>
    <col min="1178" max="1178" width="20.5546875" bestFit="1" customWidth="1"/>
    <col min="1179" max="1179" width="16.21875" bestFit="1" customWidth="1"/>
    <col min="1180" max="1180" width="15.5546875" bestFit="1" customWidth="1"/>
    <col min="1181" max="1181" width="30.6640625" bestFit="1" customWidth="1"/>
    <col min="1182" max="1182" width="26.33203125" bestFit="1" customWidth="1"/>
    <col min="1183" max="1183" width="25.6640625" bestFit="1" customWidth="1"/>
    <col min="1184" max="1184" width="20.5546875" bestFit="1" customWidth="1"/>
    <col min="1185" max="1185" width="16.21875" bestFit="1" customWidth="1"/>
    <col min="1186" max="1186" width="15.5546875" bestFit="1" customWidth="1"/>
    <col min="1187" max="1187" width="30.6640625" bestFit="1" customWidth="1"/>
    <col min="1188" max="1188" width="26.33203125" bestFit="1" customWidth="1"/>
    <col min="1189" max="1189" width="25.6640625" bestFit="1" customWidth="1"/>
    <col min="1190" max="1190" width="20.5546875" bestFit="1" customWidth="1"/>
    <col min="1191" max="1191" width="16.21875" bestFit="1" customWidth="1"/>
    <col min="1192" max="1192" width="15.5546875" bestFit="1" customWidth="1"/>
    <col min="1193" max="1193" width="30.6640625" bestFit="1" customWidth="1"/>
    <col min="1194" max="1194" width="26.33203125" bestFit="1" customWidth="1"/>
    <col min="1195" max="1195" width="25.6640625" bestFit="1" customWidth="1"/>
    <col min="1196" max="1196" width="20.5546875" bestFit="1" customWidth="1"/>
    <col min="1197" max="1197" width="16.21875" bestFit="1" customWidth="1"/>
    <col min="1198" max="1198" width="15.5546875" bestFit="1" customWidth="1"/>
    <col min="1199" max="1199" width="30.6640625" bestFit="1" customWidth="1"/>
    <col min="1200" max="1200" width="26.33203125" bestFit="1" customWidth="1"/>
    <col min="1201" max="1201" width="25.6640625" bestFit="1" customWidth="1"/>
    <col min="1202" max="1202" width="20.5546875" bestFit="1" customWidth="1"/>
    <col min="1203" max="1203" width="16.21875" bestFit="1" customWidth="1"/>
    <col min="1204" max="1204" width="15.5546875" bestFit="1" customWidth="1"/>
    <col min="1205" max="1205" width="27.21875" bestFit="1" customWidth="1"/>
    <col min="1206" max="1206" width="22.88671875" bestFit="1" customWidth="1"/>
    <col min="1207" max="1207" width="22.21875" bestFit="1" customWidth="1"/>
    <col min="1208" max="1208" width="25.44140625" bestFit="1" customWidth="1"/>
    <col min="1209" max="1209" width="21" bestFit="1" customWidth="1"/>
    <col min="1210" max="1210" width="20.33203125" bestFit="1" customWidth="1"/>
  </cols>
  <sheetData>
    <row r="1" spans="1:7" ht="23.4" x14ac:dyDescent="0.45">
      <c r="A1" s="5" t="s">
        <v>37</v>
      </c>
      <c r="B1" s="5"/>
      <c r="C1" s="5"/>
      <c r="D1" s="5"/>
      <c r="E1" s="5"/>
    </row>
    <row r="3" spans="1:7" x14ac:dyDescent="0.3">
      <c r="A3" s="2" t="s">
        <v>36</v>
      </c>
      <c r="B3" s="2" t="s">
        <v>35</v>
      </c>
    </row>
    <row r="4" spans="1:7" x14ac:dyDescent="0.3">
      <c r="A4" s="2" t="s">
        <v>32</v>
      </c>
      <c r="B4" t="s">
        <v>15</v>
      </c>
      <c r="C4" t="s">
        <v>6</v>
      </c>
      <c r="D4" t="s">
        <v>9</v>
      </c>
      <c r="E4" t="s">
        <v>20</v>
      </c>
      <c r="F4" t="s">
        <v>33</v>
      </c>
      <c r="G4" t="s">
        <v>34</v>
      </c>
    </row>
    <row r="5" spans="1:7" x14ac:dyDescent="0.3">
      <c r="A5" s="3" t="s">
        <v>14</v>
      </c>
      <c r="B5" s="4">
        <v>417508</v>
      </c>
      <c r="C5" s="4">
        <v>651987</v>
      </c>
      <c r="D5" s="4">
        <v>652765</v>
      </c>
      <c r="E5" s="4">
        <v>556758</v>
      </c>
      <c r="F5" s="4"/>
      <c r="G5" s="4">
        <v>2279018</v>
      </c>
    </row>
    <row r="6" spans="1:7" x14ac:dyDescent="0.3">
      <c r="A6" s="3" t="s">
        <v>12</v>
      </c>
      <c r="B6" s="4">
        <v>239606</v>
      </c>
      <c r="C6" s="4">
        <v>833476</v>
      </c>
      <c r="D6" s="4">
        <v>405180</v>
      </c>
      <c r="E6" s="4">
        <v>585251</v>
      </c>
      <c r="F6" s="4"/>
      <c r="G6" s="4">
        <v>2063513</v>
      </c>
    </row>
    <row r="7" spans="1:7" x14ac:dyDescent="0.3">
      <c r="A7" s="3" t="s">
        <v>7</v>
      </c>
      <c r="B7" s="4">
        <v>895281</v>
      </c>
      <c r="C7" s="4">
        <v>966339</v>
      </c>
      <c r="D7" s="4">
        <v>589902</v>
      </c>
      <c r="E7" s="4">
        <v>744031</v>
      </c>
      <c r="F7" s="4"/>
      <c r="G7" s="4">
        <v>3195553</v>
      </c>
    </row>
    <row r="8" spans="1:7" x14ac:dyDescent="0.3">
      <c r="A8" s="3" t="s">
        <v>11</v>
      </c>
      <c r="B8" s="4">
        <v>675159</v>
      </c>
      <c r="C8" s="4">
        <v>1107005</v>
      </c>
      <c r="D8" s="4">
        <v>555296</v>
      </c>
      <c r="E8" s="4">
        <v>561901</v>
      </c>
      <c r="F8" s="4"/>
      <c r="G8" s="4">
        <v>2899361</v>
      </c>
    </row>
    <row r="9" spans="1:7" x14ac:dyDescent="0.3">
      <c r="A9" s="3" t="s">
        <v>16</v>
      </c>
      <c r="B9" s="4">
        <v>721090</v>
      </c>
      <c r="C9" s="4">
        <v>942396</v>
      </c>
      <c r="D9" s="4">
        <v>653404</v>
      </c>
      <c r="E9" s="4">
        <v>1010876</v>
      </c>
      <c r="F9" s="4"/>
      <c r="G9" s="4">
        <v>3327766</v>
      </c>
    </row>
    <row r="10" spans="1:7" x14ac:dyDescent="0.3">
      <c r="A10" s="3" t="s">
        <v>33</v>
      </c>
      <c r="B10" s="4"/>
      <c r="C10" s="4"/>
      <c r="D10" s="4"/>
      <c r="E10" s="4"/>
      <c r="F10" s="4"/>
      <c r="G10" s="4"/>
    </row>
    <row r="11" spans="1:7" x14ac:dyDescent="0.3">
      <c r="A11" s="3" t="s">
        <v>34</v>
      </c>
      <c r="B11" s="4">
        <v>2948644</v>
      </c>
      <c r="C11" s="4">
        <v>4501203</v>
      </c>
      <c r="D11" s="4">
        <v>2856547</v>
      </c>
      <c r="E11" s="4">
        <v>3458817</v>
      </c>
      <c r="F11" s="4"/>
      <c r="G11" s="4">
        <v>13765211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selection sqref="A1:F202"/>
    </sheetView>
  </sheetViews>
  <sheetFormatPr defaultRowHeight="14.4" x14ac:dyDescent="0.3"/>
  <cols>
    <col min="1" max="2" width="13" customWidth="1"/>
    <col min="3" max="3" width="12.6640625" customWidth="1"/>
    <col min="4" max="4" width="11.6640625" customWidth="1"/>
    <col min="5" max="5" width="17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45293</v>
      </c>
      <c r="B2" t="s">
        <v>6</v>
      </c>
      <c r="C2" t="s">
        <v>7</v>
      </c>
      <c r="D2" t="s">
        <v>8</v>
      </c>
      <c r="E2">
        <v>9</v>
      </c>
      <c r="F2">
        <v>121131</v>
      </c>
    </row>
    <row r="3" spans="1:6" x14ac:dyDescent="0.3">
      <c r="A3" s="1">
        <v>45294</v>
      </c>
      <c r="B3" t="s">
        <v>9</v>
      </c>
      <c r="C3" t="s">
        <v>7</v>
      </c>
      <c r="D3" t="s">
        <v>10</v>
      </c>
      <c r="E3">
        <v>3</v>
      </c>
      <c r="F3">
        <v>23658</v>
      </c>
    </row>
    <row r="4" spans="1:6" x14ac:dyDescent="0.3">
      <c r="A4" s="1">
        <v>45295</v>
      </c>
      <c r="B4" t="s">
        <v>6</v>
      </c>
      <c r="C4" t="s">
        <v>11</v>
      </c>
      <c r="D4" t="s">
        <v>10</v>
      </c>
      <c r="E4">
        <v>10</v>
      </c>
      <c r="F4">
        <v>87650</v>
      </c>
    </row>
    <row r="5" spans="1:6" x14ac:dyDescent="0.3">
      <c r="A5" s="1">
        <v>45296</v>
      </c>
      <c r="B5" t="s">
        <v>9</v>
      </c>
      <c r="C5" t="s">
        <v>12</v>
      </c>
      <c r="D5" t="s">
        <v>13</v>
      </c>
      <c r="E5">
        <v>10</v>
      </c>
      <c r="F5">
        <v>171200</v>
      </c>
    </row>
    <row r="6" spans="1:6" x14ac:dyDescent="0.3">
      <c r="A6" s="1">
        <v>45297</v>
      </c>
      <c r="B6" t="s">
        <v>6</v>
      </c>
      <c r="C6" t="s">
        <v>14</v>
      </c>
      <c r="D6" t="s">
        <v>8</v>
      </c>
      <c r="E6">
        <v>9</v>
      </c>
      <c r="F6">
        <v>125280</v>
      </c>
    </row>
    <row r="7" spans="1:6" x14ac:dyDescent="0.3">
      <c r="A7" s="1">
        <v>45298</v>
      </c>
      <c r="B7" t="s">
        <v>15</v>
      </c>
      <c r="C7" t="s">
        <v>16</v>
      </c>
      <c r="D7" t="s">
        <v>17</v>
      </c>
      <c r="E7">
        <v>10</v>
      </c>
      <c r="F7">
        <v>65670</v>
      </c>
    </row>
    <row r="8" spans="1:6" x14ac:dyDescent="0.3">
      <c r="A8" s="1">
        <v>45299</v>
      </c>
      <c r="B8" t="s">
        <v>9</v>
      </c>
      <c r="C8" t="s">
        <v>14</v>
      </c>
      <c r="D8" t="s">
        <v>18</v>
      </c>
      <c r="E8">
        <v>9</v>
      </c>
      <c r="F8">
        <v>172143</v>
      </c>
    </row>
    <row r="9" spans="1:6" x14ac:dyDescent="0.3">
      <c r="A9" s="1">
        <v>45300</v>
      </c>
      <c r="B9" t="s">
        <v>9</v>
      </c>
      <c r="C9" t="s">
        <v>12</v>
      </c>
      <c r="D9" t="s">
        <v>19</v>
      </c>
      <c r="E9">
        <v>6</v>
      </c>
      <c r="F9">
        <v>97098</v>
      </c>
    </row>
    <row r="10" spans="1:6" x14ac:dyDescent="0.3">
      <c r="A10" s="1">
        <v>45301</v>
      </c>
      <c r="B10" t="s">
        <v>20</v>
      </c>
      <c r="C10" t="s">
        <v>14</v>
      </c>
      <c r="D10" t="s">
        <v>13</v>
      </c>
      <c r="E10">
        <v>7</v>
      </c>
      <c r="F10">
        <v>74865</v>
      </c>
    </row>
    <row r="11" spans="1:6" x14ac:dyDescent="0.3">
      <c r="A11" s="1">
        <v>45302</v>
      </c>
      <c r="B11" t="s">
        <v>20</v>
      </c>
      <c r="C11" t="s">
        <v>7</v>
      </c>
      <c r="D11" t="s">
        <v>19</v>
      </c>
      <c r="E11">
        <v>10</v>
      </c>
      <c r="F11">
        <v>140590</v>
      </c>
    </row>
    <row r="12" spans="1:6" x14ac:dyDescent="0.3">
      <c r="A12" s="1">
        <v>45303</v>
      </c>
      <c r="B12" t="s">
        <v>9</v>
      </c>
      <c r="C12" t="s">
        <v>11</v>
      </c>
      <c r="D12" t="s">
        <v>17</v>
      </c>
      <c r="E12">
        <v>4</v>
      </c>
      <c r="F12">
        <v>66256</v>
      </c>
    </row>
    <row r="13" spans="1:6" x14ac:dyDescent="0.3">
      <c r="A13" s="1">
        <v>45304</v>
      </c>
      <c r="B13" t="s">
        <v>9</v>
      </c>
      <c r="C13" t="s">
        <v>16</v>
      </c>
      <c r="D13" t="s">
        <v>19</v>
      </c>
      <c r="E13">
        <v>2</v>
      </c>
      <c r="F13">
        <v>22558</v>
      </c>
    </row>
    <row r="14" spans="1:6" x14ac:dyDescent="0.3">
      <c r="A14" s="1">
        <v>45305</v>
      </c>
      <c r="B14" t="s">
        <v>20</v>
      </c>
      <c r="C14" t="s">
        <v>16</v>
      </c>
      <c r="D14" t="s">
        <v>8</v>
      </c>
      <c r="E14">
        <v>1</v>
      </c>
      <c r="F14">
        <v>5644</v>
      </c>
    </row>
    <row r="15" spans="1:6" x14ac:dyDescent="0.3">
      <c r="A15" s="1">
        <v>45306</v>
      </c>
      <c r="B15" t="s">
        <v>15</v>
      </c>
      <c r="C15" t="s">
        <v>12</v>
      </c>
      <c r="D15" t="s">
        <v>13</v>
      </c>
      <c r="E15">
        <v>3</v>
      </c>
      <c r="F15">
        <v>34236</v>
      </c>
    </row>
    <row r="16" spans="1:6" x14ac:dyDescent="0.3">
      <c r="A16" s="1">
        <v>45307</v>
      </c>
      <c r="B16" t="s">
        <v>15</v>
      </c>
      <c r="C16" t="s">
        <v>7</v>
      </c>
      <c r="D16" t="s">
        <v>18</v>
      </c>
      <c r="E16">
        <v>3</v>
      </c>
      <c r="F16">
        <v>23367</v>
      </c>
    </row>
    <row r="17" spans="1:6" x14ac:dyDescent="0.3">
      <c r="A17" s="1">
        <v>45308</v>
      </c>
      <c r="B17" t="s">
        <v>6</v>
      </c>
      <c r="C17" t="s">
        <v>14</v>
      </c>
      <c r="D17" t="s">
        <v>19</v>
      </c>
      <c r="E17">
        <v>9</v>
      </c>
      <c r="F17">
        <v>136818</v>
      </c>
    </row>
    <row r="18" spans="1:6" x14ac:dyDescent="0.3">
      <c r="A18" s="1">
        <v>45309</v>
      </c>
      <c r="B18" t="s">
        <v>20</v>
      </c>
      <c r="C18" t="s">
        <v>7</v>
      </c>
      <c r="D18" t="s">
        <v>13</v>
      </c>
      <c r="E18">
        <v>8</v>
      </c>
      <c r="F18">
        <v>112688</v>
      </c>
    </row>
    <row r="19" spans="1:6" x14ac:dyDescent="0.3">
      <c r="A19" s="1">
        <v>45310</v>
      </c>
      <c r="B19" t="s">
        <v>6</v>
      </c>
      <c r="C19" t="s">
        <v>12</v>
      </c>
      <c r="D19" t="s">
        <v>17</v>
      </c>
      <c r="E19">
        <v>1</v>
      </c>
      <c r="F19">
        <v>9616</v>
      </c>
    </row>
    <row r="20" spans="1:6" x14ac:dyDescent="0.3">
      <c r="A20" s="1">
        <v>45311</v>
      </c>
      <c r="B20" t="s">
        <v>9</v>
      </c>
      <c r="C20" t="s">
        <v>11</v>
      </c>
      <c r="D20" t="s">
        <v>13</v>
      </c>
      <c r="E20">
        <v>4</v>
      </c>
      <c r="F20">
        <v>29948</v>
      </c>
    </row>
    <row r="21" spans="1:6" x14ac:dyDescent="0.3">
      <c r="A21" s="1">
        <v>45312</v>
      </c>
      <c r="B21" t="s">
        <v>15</v>
      </c>
      <c r="C21" t="s">
        <v>16</v>
      </c>
      <c r="D21" t="s">
        <v>8</v>
      </c>
      <c r="E21">
        <v>4</v>
      </c>
      <c r="F21">
        <v>33468</v>
      </c>
    </row>
    <row r="22" spans="1:6" x14ac:dyDescent="0.3">
      <c r="A22" s="1">
        <v>45313</v>
      </c>
      <c r="B22" t="s">
        <v>6</v>
      </c>
      <c r="C22" t="s">
        <v>12</v>
      </c>
      <c r="D22" t="s">
        <v>18</v>
      </c>
      <c r="E22">
        <v>2</v>
      </c>
      <c r="F22">
        <v>29454</v>
      </c>
    </row>
    <row r="23" spans="1:6" x14ac:dyDescent="0.3">
      <c r="A23" s="1">
        <v>45314</v>
      </c>
      <c r="B23" t="s">
        <v>6</v>
      </c>
      <c r="C23" t="s">
        <v>16</v>
      </c>
      <c r="D23" t="s">
        <v>17</v>
      </c>
      <c r="E23">
        <v>2</v>
      </c>
      <c r="F23">
        <v>25772</v>
      </c>
    </row>
    <row r="24" spans="1:6" x14ac:dyDescent="0.3">
      <c r="A24" s="1">
        <v>45315</v>
      </c>
      <c r="B24" t="s">
        <v>6</v>
      </c>
      <c r="C24" t="s">
        <v>7</v>
      </c>
      <c r="D24" t="s">
        <v>19</v>
      </c>
      <c r="E24">
        <v>7</v>
      </c>
      <c r="F24">
        <v>74837</v>
      </c>
    </row>
    <row r="25" spans="1:6" x14ac:dyDescent="0.3">
      <c r="A25" s="1">
        <v>45316</v>
      </c>
      <c r="B25" t="s">
        <v>9</v>
      </c>
      <c r="C25" t="s">
        <v>14</v>
      </c>
      <c r="D25" t="s">
        <v>17</v>
      </c>
      <c r="E25">
        <v>7</v>
      </c>
      <c r="F25">
        <v>68383</v>
      </c>
    </row>
    <row r="26" spans="1:6" x14ac:dyDescent="0.3">
      <c r="A26" s="1">
        <v>45317</v>
      </c>
      <c r="B26" t="s">
        <v>15</v>
      </c>
      <c r="C26" t="s">
        <v>14</v>
      </c>
      <c r="D26" t="s">
        <v>19</v>
      </c>
      <c r="E26">
        <v>1</v>
      </c>
      <c r="F26">
        <v>17000</v>
      </c>
    </row>
    <row r="27" spans="1:6" x14ac:dyDescent="0.3">
      <c r="A27" s="1">
        <v>45318</v>
      </c>
      <c r="B27" t="s">
        <v>15</v>
      </c>
      <c r="C27" t="s">
        <v>16</v>
      </c>
      <c r="D27" t="s">
        <v>21</v>
      </c>
      <c r="E27">
        <v>6</v>
      </c>
      <c r="F27">
        <v>64992</v>
      </c>
    </row>
    <row r="28" spans="1:6" x14ac:dyDescent="0.3">
      <c r="A28" s="1">
        <v>45319</v>
      </c>
      <c r="B28" t="s">
        <v>20</v>
      </c>
      <c r="C28" t="s">
        <v>7</v>
      </c>
      <c r="D28" t="s">
        <v>18</v>
      </c>
      <c r="E28">
        <v>2</v>
      </c>
      <c r="F28">
        <v>27116</v>
      </c>
    </row>
    <row r="29" spans="1:6" x14ac:dyDescent="0.3">
      <c r="A29" s="1">
        <v>45320</v>
      </c>
      <c r="B29" t="s">
        <v>15</v>
      </c>
      <c r="C29" t="s">
        <v>14</v>
      </c>
      <c r="D29" t="s">
        <v>13</v>
      </c>
      <c r="E29">
        <v>6</v>
      </c>
      <c r="F29">
        <v>105204</v>
      </c>
    </row>
    <row r="30" spans="1:6" x14ac:dyDescent="0.3">
      <c r="A30" s="1">
        <v>45321</v>
      </c>
      <c r="B30" t="s">
        <v>15</v>
      </c>
      <c r="C30" t="s">
        <v>7</v>
      </c>
      <c r="D30" t="s">
        <v>17</v>
      </c>
      <c r="E30">
        <v>10</v>
      </c>
      <c r="F30">
        <v>153090</v>
      </c>
    </row>
    <row r="31" spans="1:6" x14ac:dyDescent="0.3">
      <c r="A31" s="1">
        <v>45322</v>
      </c>
      <c r="B31" t="s">
        <v>20</v>
      </c>
      <c r="C31" t="s">
        <v>16</v>
      </c>
      <c r="D31" t="s">
        <v>18</v>
      </c>
      <c r="E31">
        <v>9</v>
      </c>
      <c r="F31">
        <v>53649</v>
      </c>
    </row>
    <row r="32" spans="1:6" x14ac:dyDescent="0.3">
      <c r="A32" s="1">
        <v>45323</v>
      </c>
      <c r="B32" t="s">
        <v>6</v>
      </c>
      <c r="C32" t="s">
        <v>12</v>
      </c>
      <c r="D32" t="s">
        <v>13</v>
      </c>
      <c r="E32">
        <v>2</v>
      </c>
      <c r="F32">
        <v>22892</v>
      </c>
    </row>
    <row r="33" spans="1:6" x14ac:dyDescent="0.3">
      <c r="A33" s="1">
        <v>45324</v>
      </c>
      <c r="B33" t="s">
        <v>20</v>
      </c>
      <c r="C33" t="s">
        <v>7</v>
      </c>
      <c r="D33" t="s">
        <v>19</v>
      </c>
      <c r="E33">
        <v>9</v>
      </c>
      <c r="F33">
        <v>169236</v>
      </c>
    </row>
    <row r="34" spans="1:6" x14ac:dyDescent="0.3">
      <c r="A34" s="1">
        <v>45325</v>
      </c>
      <c r="B34" t="s">
        <v>6</v>
      </c>
      <c r="C34" t="s">
        <v>7</v>
      </c>
      <c r="D34" t="s">
        <v>19</v>
      </c>
      <c r="E34">
        <v>4</v>
      </c>
      <c r="F34">
        <v>28124</v>
      </c>
    </row>
    <row r="35" spans="1:6" x14ac:dyDescent="0.3">
      <c r="A35" s="1">
        <v>45326</v>
      </c>
      <c r="B35" t="s">
        <v>6</v>
      </c>
      <c r="C35" t="s">
        <v>7</v>
      </c>
      <c r="D35" t="s">
        <v>21</v>
      </c>
      <c r="E35">
        <v>1</v>
      </c>
      <c r="F35">
        <v>13891</v>
      </c>
    </row>
    <row r="36" spans="1:6" x14ac:dyDescent="0.3">
      <c r="A36" s="1">
        <v>45327</v>
      </c>
      <c r="B36" t="s">
        <v>20</v>
      </c>
      <c r="C36" t="s">
        <v>11</v>
      </c>
      <c r="D36" t="s">
        <v>10</v>
      </c>
      <c r="E36">
        <v>6</v>
      </c>
      <c r="F36">
        <v>57324</v>
      </c>
    </row>
    <row r="37" spans="1:6" x14ac:dyDescent="0.3">
      <c r="A37" s="1">
        <v>45328</v>
      </c>
      <c r="B37" t="s">
        <v>20</v>
      </c>
      <c r="C37" t="s">
        <v>11</v>
      </c>
      <c r="D37" t="s">
        <v>13</v>
      </c>
      <c r="E37">
        <v>7</v>
      </c>
      <c r="F37">
        <v>137347</v>
      </c>
    </row>
    <row r="38" spans="1:6" x14ac:dyDescent="0.3">
      <c r="A38" s="1">
        <v>45329</v>
      </c>
      <c r="B38" t="s">
        <v>20</v>
      </c>
      <c r="C38" t="s">
        <v>16</v>
      </c>
      <c r="D38" t="s">
        <v>13</v>
      </c>
      <c r="E38">
        <v>8</v>
      </c>
      <c r="F38">
        <v>150792</v>
      </c>
    </row>
    <row r="39" spans="1:6" x14ac:dyDescent="0.3">
      <c r="A39" s="1">
        <v>45330</v>
      </c>
      <c r="B39" t="s">
        <v>9</v>
      </c>
      <c r="C39" t="s">
        <v>7</v>
      </c>
      <c r="D39" t="s">
        <v>19</v>
      </c>
      <c r="E39">
        <v>9</v>
      </c>
      <c r="F39">
        <v>151803</v>
      </c>
    </row>
    <row r="40" spans="1:6" x14ac:dyDescent="0.3">
      <c r="A40" s="1">
        <v>45331</v>
      </c>
      <c r="B40" t="s">
        <v>15</v>
      </c>
      <c r="C40" t="s">
        <v>16</v>
      </c>
      <c r="D40" t="s">
        <v>18</v>
      </c>
      <c r="E40">
        <v>3</v>
      </c>
      <c r="F40">
        <v>36723</v>
      </c>
    </row>
    <row r="41" spans="1:6" x14ac:dyDescent="0.3">
      <c r="A41" s="1">
        <v>45332</v>
      </c>
      <c r="B41" t="s">
        <v>15</v>
      </c>
      <c r="C41" t="s">
        <v>11</v>
      </c>
      <c r="D41" t="s">
        <v>17</v>
      </c>
      <c r="E41">
        <v>10</v>
      </c>
      <c r="F41">
        <v>69930</v>
      </c>
    </row>
    <row r="42" spans="1:6" x14ac:dyDescent="0.3">
      <c r="A42" s="1">
        <v>45333</v>
      </c>
      <c r="B42" t="s">
        <v>20</v>
      </c>
      <c r="C42" t="s">
        <v>11</v>
      </c>
      <c r="D42" t="s">
        <v>13</v>
      </c>
      <c r="E42">
        <v>9</v>
      </c>
      <c r="F42">
        <v>90045</v>
      </c>
    </row>
    <row r="43" spans="1:6" x14ac:dyDescent="0.3">
      <c r="A43" s="1">
        <v>45334</v>
      </c>
      <c r="B43" t="s">
        <v>9</v>
      </c>
      <c r="C43" t="s">
        <v>12</v>
      </c>
      <c r="D43" t="s">
        <v>19</v>
      </c>
      <c r="E43">
        <v>1</v>
      </c>
      <c r="F43">
        <v>11918</v>
      </c>
    </row>
    <row r="44" spans="1:6" x14ac:dyDescent="0.3">
      <c r="A44" s="1">
        <v>45335</v>
      </c>
      <c r="B44" t="s">
        <v>20</v>
      </c>
      <c r="C44" t="s">
        <v>11</v>
      </c>
      <c r="D44" t="s">
        <v>18</v>
      </c>
      <c r="E44">
        <v>7</v>
      </c>
      <c r="F44">
        <v>95767</v>
      </c>
    </row>
    <row r="45" spans="1:6" x14ac:dyDescent="0.3">
      <c r="A45" s="1">
        <v>45336</v>
      </c>
      <c r="B45" t="s">
        <v>9</v>
      </c>
      <c r="C45" t="s">
        <v>16</v>
      </c>
      <c r="D45" t="s">
        <v>21</v>
      </c>
      <c r="E45">
        <v>8</v>
      </c>
      <c r="F45">
        <v>113160</v>
      </c>
    </row>
    <row r="46" spans="1:6" x14ac:dyDescent="0.3">
      <c r="A46" s="1">
        <v>45337</v>
      </c>
      <c r="B46" t="s">
        <v>15</v>
      </c>
      <c r="C46" t="s">
        <v>7</v>
      </c>
      <c r="D46" t="s">
        <v>21</v>
      </c>
      <c r="E46">
        <v>2</v>
      </c>
      <c r="F46">
        <v>14692</v>
      </c>
    </row>
    <row r="47" spans="1:6" x14ac:dyDescent="0.3">
      <c r="A47" s="1">
        <v>45338</v>
      </c>
      <c r="B47" t="s">
        <v>15</v>
      </c>
      <c r="C47" t="s">
        <v>12</v>
      </c>
      <c r="D47" t="s">
        <v>17</v>
      </c>
      <c r="E47">
        <v>8</v>
      </c>
      <c r="F47">
        <v>108328</v>
      </c>
    </row>
    <row r="48" spans="1:6" x14ac:dyDescent="0.3">
      <c r="A48" s="1">
        <v>45339</v>
      </c>
      <c r="B48" t="s">
        <v>20</v>
      </c>
      <c r="C48" t="s">
        <v>16</v>
      </c>
      <c r="D48" t="s">
        <v>18</v>
      </c>
      <c r="E48">
        <v>3</v>
      </c>
      <c r="F48">
        <v>37794</v>
      </c>
    </row>
    <row r="49" spans="1:6" x14ac:dyDescent="0.3">
      <c r="A49" s="1">
        <v>45340</v>
      </c>
      <c r="B49" t="s">
        <v>15</v>
      </c>
      <c r="C49" t="s">
        <v>7</v>
      </c>
      <c r="D49" t="s">
        <v>13</v>
      </c>
      <c r="E49">
        <v>2</v>
      </c>
      <c r="F49">
        <v>10850</v>
      </c>
    </row>
    <row r="50" spans="1:6" x14ac:dyDescent="0.3">
      <c r="A50" s="1">
        <v>45341</v>
      </c>
      <c r="B50" t="s">
        <v>6</v>
      </c>
      <c r="C50" t="s">
        <v>7</v>
      </c>
      <c r="D50" t="s">
        <v>19</v>
      </c>
      <c r="E50">
        <v>9</v>
      </c>
      <c r="F50">
        <v>118800</v>
      </c>
    </row>
    <row r="51" spans="1:6" x14ac:dyDescent="0.3">
      <c r="A51" s="1">
        <v>45342</v>
      </c>
      <c r="B51" t="s">
        <v>20</v>
      </c>
      <c r="C51" t="s">
        <v>16</v>
      </c>
      <c r="D51" t="s">
        <v>10</v>
      </c>
      <c r="E51">
        <v>5</v>
      </c>
      <c r="F51">
        <v>70680</v>
      </c>
    </row>
    <row r="52" spans="1:6" x14ac:dyDescent="0.3">
      <c r="A52" s="1">
        <v>45343</v>
      </c>
      <c r="B52" t="s">
        <v>6</v>
      </c>
      <c r="C52" t="s">
        <v>7</v>
      </c>
      <c r="D52" t="s">
        <v>21</v>
      </c>
      <c r="E52">
        <v>3</v>
      </c>
      <c r="F52">
        <v>23838</v>
      </c>
    </row>
    <row r="53" spans="1:6" x14ac:dyDescent="0.3">
      <c r="A53" s="1">
        <v>45344</v>
      </c>
      <c r="B53" t="s">
        <v>6</v>
      </c>
      <c r="C53" t="s">
        <v>12</v>
      </c>
      <c r="D53" t="s">
        <v>17</v>
      </c>
      <c r="E53">
        <v>9</v>
      </c>
      <c r="F53">
        <v>153954</v>
      </c>
    </row>
    <row r="54" spans="1:6" x14ac:dyDescent="0.3">
      <c r="A54" s="1">
        <v>45345</v>
      </c>
      <c r="B54" t="s">
        <v>6</v>
      </c>
      <c r="C54" t="s">
        <v>12</v>
      </c>
      <c r="D54" t="s">
        <v>10</v>
      </c>
      <c r="E54">
        <v>7</v>
      </c>
      <c r="F54">
        <v>53634</v>
      </c>
    </row>
    <row r="55" spans="1:6" x14ac:dyDescent="0.3">
      <c r="A55" s="1">
        <v>45346</v>
      </c>
      <c r="B55" t="s">
        <v>9</v>
      </c>
      <c r="C55" t="s">
        <v>11</v>
      </c>
      <c r="D55" t="s">
        <v>17</v>
      </c>
      <c r="E55">
        <v>1</v>
      </c>
      <c r="F55">
        <v>9300</v>
      </c>
    </row>
    <row r="56" spans="1:6" x14ac:dyDescent="0.3">
      <c r="A56" s="1">
        <v>45347</v>
      </c>
      <c r="B56" t="s">
        <v>6</v>
      </c>
      <c r="C56" t="s">
        <v>7</v>
      </c>
      <c r="D56" t="s">
        <v>21</v>
      </c>
      <c r="E56">
        <v>4</v>
      </c>
      <c r="F56">
        <v>67328</v>
      </c>
    </row>
    <row r="57" spans="1:6" x14ac:dyDescent="0.3">
      <c r="A57" s="1">
        <v>45348</v>
      </c>
      <c r="B57" t="s">
        <v>20</v>
      </c>
      <c r="C57" t="s">
        <v>16</v>
      </c>
      <c r="D57" t="s">
        <v>17</v>
      </c>
      <c r="E57">
        <v>2</v>
      </c>
      <c r="F57">
        <v>10366</v>
      </c>
    </row>
    <row r="58" spans="1:6" x14ac:dyDescent="0.3">
      <c r="A58" s="1">
        <v>45349</v>
      </c>
      <c r="B58" t="s">
        <v>20</v>
      </c>
      <c r="C58" t="s">
        <v>12</v>
      </c>
      <c r="D58" t="s">
        <v>21</v>
      </c>
      <c r="E58">
        <v>5</v>
      </c>
      <c r="F58">
        <v>65370</v>
      </c>
    </row>
    <row r="59" spans="1:6" x14ac:dyDescent="0.3">
      <c r="A59" s="1">
        <v>45350</v>
      </c>
      <c r="B59" t="s">
        <v>6</v>
      </c>
      <c r="C59" t="s">
        <v>16</v>
      </c>
      <c r="D59" t="s">
        <v>8</v>
      </c>
      <c r="E59">
        <v>2</v>
      </c>
      <c r="F59">
        <v>15728</v>
      </c>
    </row>
    <row r="60" spans="1:6" x14ac:dyDescent="0.3">
      <c r="A60" s="1">
        <v>45351</v>
      </c>
      <c r="B60" t="s">
        <v>9</v>
      </c>
      <c r="C60" t="s">
        <v>14</v>
      </c>
      <c r="D60" t="s">
        <v>13</v>
      </c>
      <c r="E60">
        <v>7</v>
      </c>
      <c r="F60">
        <v>69538</v>
      </c>
    </row>
    <row r="61" spans="1:6" x14ac:dyDescent="0.3">
      <c r="A61" s="1">
        <v>45352</v>
      </c>
      <c r="B61" t="s">
        <v>6</v>
      </c>
      <c r="C61" t="s">
        <v>7</v>
      </c>
      <c r="D61" t="s">
        <v>17</v>
      </c>
      <c r="E61">
        <v>9</v>
      </c>
      <c r="F61">
        <v>127827</v>
      </c>
    </row>
    <row r="62" spans="1:6" x14ac:dyDescent="0.3">
      <c r="A62" s="1">
        <v>45353</v>
      </c>
      <c r="B62" t="s">
        <v>9</v>
      </c>
      <c r="C62" t="s">
        <v>7</v>
      </c>
      <c r="D62" t="s">
        <v>10</v>
      </c>
      <c r="E62">
        <v>2</v>
      </c>
      <c r="F62">
        <v>34856</v>
      </c>
    </row>
    <row r="63" spans="1:6" x14ac:dyDescent="0.3">
      <c r="A63" s="1">
        <v>45354</v>
      </c>
      <c r="B63" t="s">
        <v>6</v>
      </c>
      <c r="C63" t="s">
        <v>7</v>
      </c>
      <c r="D63" t="s">
        <v>13</v>
      </c>
      <c r="E63">
        <v>7</v>
      </c>
      <c r="F63">
        <v>137137</v>
      </c>
    </row>
    <row r="64" spans="1:6" x14ac:dyDescent="0.3">
      <c r="A64" s="1">
        <v>45355</v>
      </c>
      <c r="B64" t="s">
        <v>9</v>
      </c>
      <c r="C64" t="s">
        <v>16</v>
      </c>
      <c r="D64" t="s">
        <v>8</v>
      </c>
      <c r="E64">
        <v>5</v>
      </c>
      <c r="F64">
        <v>64990</v>
      </c>
    </row>
    <row r="65" spans="1:6" x14ac:dyDescent="0.3">
      <c r="A65" s="1">
        <v>45356</v>
      </c>
      <c r="B65" t="s">
        <v>20</v>
      </c>
      <c r="C65" t="s">
        <v>7</v>
      </c>
      <c r="D65" t="s">
        <v>17</v>
      </c>
      <c r="E65">
        <v>1</v>
      </c>
      <c r="F65">
        <v>12585</v>
      </c>
    </row>
    <row r="66" spans="1:6" x14ac:dyDescent="0.3">
      <c r="A66" s="1">
        <v>45357</v>
      </c>
      <c r="B66" t="s">
        <v>20</v>
      </c>
      <c r="C66" t="s">
        <v>12</v>
      </c>
      <c r="D66" t="s">
        <v>17</v>
      </c>
      <c r="E66">
        <v>2</v>
      </c>
      <c r="F66">
        <v>27944</v>
      </c>
    </row>
    <row r="67" spans="1:6" x14ac:dyDescent="0.3">
      <c r="A67" s="1">
        <v>45358</v>
      </c>
      <c r="B67" t="s">
        <v>20</v>
      </c>
      <c r="C67" t="s">
        <v>16</v>
      </c>
      <c r="D67" t="s">
        <v>17</v>
      </c>
      <c r="E67">
        <v>5</v>
      </c>
      <c r="F67">
        <v>37930</v>
      </c>
    </row>
    <row r="68" spans="1:6" x14ac:dyDescent="0.3">
      <c r="A68" s="1">
        <v>45359</v>
      </c>
      <c r="B68" t="s">
        <v>20</v>
      </c>
      <c r="C68" t="s">
        <v>14</v>
      </c>
      <c r="D68" t="s">
        <v>18</v>
      </c>
      <c r="E68">
        <v>7</v>
      </c>
      <c r="F68">
        <v>59213</v>
      </c>
    </row>
    <row r="69" spans="1:6" x14ac:dyDescent="0.3">
      <c r="A69" s="1">
        <v>45360</v>
      </c>
      <c r="B69" t="s">
        <v>6</v>
      </c>
      <c r="C69" t="s">
        <v>12</v>
      </c>
      <c r="D69" t="s">
        <v>21</v>
      </c>
      <c r="E69">
        <v>1</v>
      </c>
      <c r="F69">
        <v>8864</v>
      </c>
    </row>
    <row r="70" spans="1:6" x14ac:dyDescent="0.3">
      <c r="A70" s="1">
        <v>45361</v>
      </c>
      <c r="B70" t="s">
        <v>15</v>
      </c>
      <c r="C70" t="s">
        <v>14</v>
      </c>
      <c r="D70" t="s">
        <v>8</v>
      </c>
      <c r="E70">
        <v>9</v>
      </c>
      <c r="F70">
        <v>135441</v>
      </c>
    </row>
    <row r="71" spans="1:6" x14ac:dyDescent="0.3">
      <c r="A71" s="1">
        <v>45362</v>
      </c>
      <c r="B71" t="s">
        <v>15</v>
      </c>
      <c r="C71" t="s">
        <v>16</v>
      </c>
      <c r="D71" t="s">
        <v>13</v>
      </c>
      <c r="E71">
        <v>9</v>
      </c>
      <c r="F71">
        <v>120708</v>
      </c>
    </row>
    <row r="72" spans="1:6" x14ac:dyDescent="0.3">
      <c r="A72" s="1">
        <v>45363</v>
      </c>
      <c r="B72" t="s">
        <v>20</v>
      </c>
      <c r="C72" t="s">
        <v>12</v>
      </c>
      <c r="D72" t="s">
        <v>13</v>
      </c>
      <c r="E72">
        <v>4</v>
      </c>
      <c r="F72">
        <v>30372</v>
      </c>
    </row>
    <row r="73" spans="1:6" x14ac:dyDescent="0.3">
      <c r="A73" s="1">
        <v>45364</v>
      </c>
      <c r="B73" t="s">
        <v>6</v>
      </c>
      <c r="C73" t="s">
        <v>11</v>
      </c>
      <c r="D73" t="s">
        <v>21</v>
      </c>
      <c r="E73">
        <v>8</v>
      </c>
      <c r="F73">
        <v>133232</v>
      </c>
    </row>
    <row r="74" spans="1:6" x14ac:dyDescent="0.3">
      <c r="A74" s="1">
        <v>45365</v>
      </c>
      <c r="B74" t="s">
        <v>20</v>
      </c>
      <c r="C74" t="s">
        <v>7</v>
      </c>
      <c r="D74" t="s">
        <v>17</v>
      </c>
      <c r="E74">
        <v>5</v>
      </c>
      <c r="F74">
        <v>85720</v>
      </c>
    </row>
    <row r="75" spans="1:6" x14ac:dyDescent="0.3">
      <c r="A75" s="1">
        <v>45366</v>
      </c>
      <c r="B75" t="s">
        <v>9</v>
      </c>
      <c r="C75" t="s">
        <v>16</v>
      </c>
      <c r="D75" t="s">
        <v>13</v>
      </c>
      <c r="E75">
        <v>8</v>
      </c>
      <c r="F75">
        <v>53656</v>
      </c>
    </row>
    <row r="76" spans="1:6" x14ac:dyDescent="0.3">
      <c r="A76" s="1">
        <v>45367</v>
      </c>
      <c r="B76" t="s">
        <v>20</v>
      </c>
      <c r="C76" t="s">
        <v>12</v>
      </c>
      <c r="D76" t="s">
        <v>21</v>
      </c>
      <c r="E76">
        <v>9</v>
      </c>
      <c r="F76">
        <v>83916</v>
      </c>
    </row>
    <row r="77" spans="1:6" x14ac:dyDescent="0.3">
      <c r="A77" s="1">
        <v>45368</v>
      </c>
      <c r="B77" t="s">
        <v>15</v>
      </c>
      <c r="C77" t="s">
        <v>7</v>
      </c>
      <c r="D77" t="s">
        <v>18</v>
      </c>
      <c r="E77">
        <v>4</v>
      </c>
      <c r="F77">
        <v>30624</v>
      </c>
    </row>
    <row r="78" spans="1:6" x14ac:dyDescent="0.3">
      <c r="A78" s="1">
        <v>45369</v>
      </c>
      <c r="B78" t="s">
        <v>20</v>
      </c>
      <c r="C78" t="s">
        <v>11</v>
      </c>
      <c r="D78" t="s">
        <v>17</v>
      </c>
      <c r="E78">
        <v>6</v>
      </c>
      <c r="F78">
        <v>74982</v>
      </c>
    </row>
    <row r="79" spans="1:6" x14ac:dyDescent="0.3">
      <c r="A79" s="1">
        <v>45370</v>
      </c>
      <c r="B79" t="s">
        <v>9</v>
      </c>
      <c r="C79" t="s">
        <v>16</v>
      </c>
      <c r="D79" t="s">
        <v>13</v>
      </c>
      <c r="E79">
        <v>9</v>
      </c>
      <c r="F79">
        <v>103230</v>
      </c>
    </row>
    <row r="80" spans="1:6" x14ac:dyDescent="0.3">
      <c r="A80" s="1">
        <v>45371</v>
      </c>
      <c r="B80" t="s">
        <v>6</v>
      </c>
      <c r="C80" t="s">
        <v>12</v>
      </c>
      <c r="D80" t="s">
        <v>17</v>
      </c>
      <c r="E80">
        <v>5</v>
      </c>
      <c r="F80">
        <v>88995</v>
      </c>
    </row>
    <row r="81" spans="1:6" x14ac:dyDescent="0.3">
      <c r="A81" s="1">
        <v>45372</v>
      </c>
      <c r="B81" t="s">
        <v>15</v>
      </c>
      <c r="C81" t="s">
        <v>16</v>
      </c>
      <c r="D81" t="s">
        <v>21</v>
      </c>
      <c r="E81">
        <v>5</v>
      </c>
      <c r="F81">
        <v>84340</v>
      </c>
    </row>
    <row r="82" spans="1:6" x14ac:dyDescent="0.3">
      <c r="A82" s="1">
        <v>45373</v>
      </c>
      <c r="B82" t="s">
        <v>6</v>
      </c>
      <c r="C82" t="s">
        <v>7</v>
      </c>
      <c r="D82" t="s">
        <v>19</v>
      </c>
      <c r="E82">
        <v>3</v>
      </c>
      <c r="F82">
        <v>17748</v>
      </c>
    </row>
    <row r="83" spans="1:6" x14ac:dyDescent="0.3">
      <c r="A83" s="1">
        <v>45374</v>
      </c>
      <c r="B83" t="s">
        <v>20</v>
      </c>
      <c r="C83" t="s">
        <v>7</v>
      </c>
      <c r="D83" t="s">
        <v>13</v>
      </c>
      <c r="E83">
        <v>7</v>
      </c>
      <c r="F83">
        <v>85939</v>
      </c>
    </row>
    <row r="84" spans="1:6" x14ac:dyDescent="0.3">
      <c r="A84" s="1">
        <v>45375</v>
      </c>
      <c r="B84" t="s">
        <v>9</v>
      </c>
      <c r="C84" t="s">
        <v>16</v>
      </c>
      <c r="D84" t="s">
        <v>13</v>
      </c>
      <c r="E84">
        <v>8</v>
      </c>
      <c r="F84">
        <v>53584</v>
      </c>
    </row>
    <row r="85" spans="1:6" x14ac:dyDescent="0.3">
      <c r="A85" s="1">
        <v>45376</v>
      </c>
      <c r="B85" t="s">
        <v>9</v>
      </c>
      <c r="C85" t="s">
        <v>16</v>
      </c>
      <c r="D85" t="s">
        <v>19</v>
      </c>
      <c r="E85">
        <v>3</v>
      </c>
      <c r="F85">
        <v>44262</v>
      </c>
    </row>
    <row r="86" spans="1:6" x14ac:dyDescent="0.3">
      <c r="A86" s="1">
        <v>45377</v>
      </c>
      <c r="B86" t="s">
        <v>6</v>
      </c>
      <c r="C86" t="s">
        <v>11</v>
      </c>
      <c r="D86" t="s">
        <v>19</v>
      </c>
      <c r="E86">
        <v>5</v>
      </c>
      <c r="F86">
        <v>73055</v>
      </c>
    </row>
    <row r="87" spans="1:6" x14ac:dyDescent="0.3">
      <c r="A87" s="1">
        <v>45378</v>
      </c>
      <c r="B87" t="s">
        <v>6</v>
      </c>
      <c r="C87" t="s">
        <v>11</v>
      </c>
      <c r="D87" t="s">
        <v>18</v>
      </c>
      <c r="E87">
        <v>6</v>
      </c>
      <c r="F87">
        <v>82410</v>
      </c>
    </row>
    <row r="88" spans="1:6" x14ac:dyDescent="0.3">
      <c r="A88" s="1">
        <v>45379</v>
      </c>
      <c r="B88" t="s">
        <v>20</v>
      </c>
      <c r="C88" t="s">
        <v>7</v>
      </c>
      <c r="D88" t="s">
        <v>17</v>
      </c>
      <c r="E88">
        <v>9</v>
      </c>
      <c r="F88">
        <v>52092</v>
      </c>
    </row>
    <row r="89" spans="1:6" x14ac:dyDescent="0.3">
      <c r="A89" s="1">
        <v>45380</v>
      </c>
      <c r="B89" t="s">
        <v>15</v>
      </c>
      <c r="C89" t="s">
        <v>7</v>
      </c>
      <c r="D89" t="s">
        <v>13</v>
      </c>
      <c r="E89">
        <v>8</v>
      </c>
      <c r="F89">
        <v>123104</v>
      </c>
    </row>
    <row r="90" spans="1:6" x14ac:dyDescent="0.3">
      <c r="A90" s="1">
        <v>45381</v>
      </c>
      <c r="B90" t="s">
        <v>20</v>
      </c>
      <c r="C90" t="s">
        <v>14</v>
      </c>
      <c r="D90" t="s">
        <v>17</v>
      </c>
      <c r="E90">
        <v>4</v>
      </c>
      <c r="F90">
        <v>63128</v>
      </c>
    </row>
    <row r="91" spans="1:6" x14ac:dyDescent="0.3">
      <c r="A91" s="1">
        <v>45382</v>
      </c>
      <c r="B91" t="s">
        <v>9</v>
      </c>
      <c r="C91" t="s">
        <v>16</v>
      </c>
      <c r="D91" t="s">
        <v>17</v>
      </c>
      <c r="E91">
        <v>9</v>
      </c>
      <c r="F91">
        <v>117108</v>
      </c>
    </row>
    <row r="92" spans="1:6" x14ac:dyDescent="0.3">
      <c r="A92" s="1">
        <v>45383</v>
      </c>
      <c r="B92" t="s">
        <v>15</v>
      </c>
      <c r="C92" t="s">
        <v>11</v>
      </c>
      <c r="D92" t="s">
        <v>21</v>
      </c>
      <c r="E92">
        <v>4</v>
      </c>
      <c r="F92">
        <v>59456</v>
      </c>
    </row>
    <row r="93" spans="1:6" x14ac:dyDescent="0.3">
      <c r="A93" s="1">
        <v>45384</v>
      </c>
      <c r="B93" t="s">
        <v>15</v>
      </c>
      <c r="C93" t="s">
        <v>11</v>
      </c>
      <c r="D93" t="s">
        <v>19</v>
      </c>
      <c r="E93">
        <v>7</v>
      </c>
      <c r="F93">
        <v>77105</v>
      </c>
    </row>
    <row r="94" spans="1:6" x14ac:dyDescent="0.3">
      <c r="A94" s="1">
        <v>45385</v>
      </c>
      <c r="B94" t="s">
        <v>6</v>
      </c>
      <c r="C94" t="s">
        <v>16</v>
      </c>
      <c r="D94" t="s">
        <v>19</v>
      </c>
      <c r="E94">
        <v>7</v>
      </c>
      <c r="F94">
        <v>91322</v>
      </c>
    </row>
    <row r="95" spans="1:6" x14ac:dyDescent="0.3">
      <c r="A95" s="1">
        <v>45386</v>
      </c>
      <c r="B95" t="s">
        <v>15</v>
      </c>
      <c r="C95" t="s">
        <v>14</v>
      </c>
      <c r="D95" t="s">
        <v>8</v>
      </c>
      <c r="E95">
        <v>2</v>
      </c>
      <c r="F95">
        <v>29422</v>
      </c>
    </row>
    <row r="96" spans="1:6" x14ac:dyDescent="0.3">
      <c r="A96" s="1">
        <v>45387</v>
      </c>
      <c r="B96" t="s">
        <v>15</v>
      </c>
      <c r="C96" t="s">
        <v>7</v>
      </c>
      <c r="D96" t="s">
        <v>17</v>
      </c>
      <c r="E96">
        <v>1</v>
      </c>
      <c r="F96">
        <v>6075</v>
      </c>
    </row>
    <row r="97" spans="1:6" x14ac:dyDescent="0.3">
      <c r="A97" s="1">
        <v>45388</v>
      </c>
      <c r="B97" t="s">
        <v>15</v>
      </c>
      <c r="C97" t="s">
        <v>11</v>
      </c>
      <c r="D97" t="s">
        <v>21</v>
      </c>
      <c r="E97">
        <v>9</v>
      </c>
      <c r="F97">
        <v>56799</v>
      </c>
    </row>
    <row r="98" spans="1:6" x14ac:dyDescent="0.3">
      <c r="A98" s="1">
        <v>45389</v>
      </c>
      <c r="B98" t="s">
        <v>20</v>
      </c>
      <c r="C98" t="s">
        <v>12</v>
      </c>
      <c r="D98" t="s">
        <v>17</v>
      </c>
      <c r="E98">
        <v>2</v>
      </c>
      <c r="F98">
        <v>20222</v>
      </c>
    </row>
    <row r="99" spans="1:6" x14ac:dyDescent="0.3">
      <c r="A99" s="1">
        <v>45390</v>
      </c>
      <c r="B99" t="s">
        <v>9</v>
      </c>
      <c r="C99" t="s">
        <v>11</v>
      </c>
      <c r="D99" t="s">
        <v>10</v>
      </c>
      <c r="E99">
        <v>8</v>
      </c>
      <c r="F99">
        <v>78880</v>
      </c>
    </row>
    <row r="100" spans="1:6" x14ac:dyDescent="0.3">
      <c r="A100" s="1">
        <v>45391</v>
      </c>
      <c r="B100" t="s">
        <v>20</v>
      </c>
      <c r="C100" t="s">
        <v>12</v>
      </c>
      <c r="D100" t="s">
        <v>19</v>
      </c>
      <c r="E100">
        <v>5</v>
      </c>
      <c r="F100">
        <v>44115</v>
      </c>
    </row>
    <row r="101" spans="1:6" x14ac:dyDescent="0.3">
      <c r="A101" s="1">
        <v>45392</v>
      </c>
      <c r="B101" t="s">
        <v>6</v>
      </c>
      <c r="C101" t="s">
        <v>11</v>
      </c>
      <c r="D101" t="s">
        <v>17</v>
      </c>
      <c r="E101">
        <v>9</v>
      </c>
      <c r="F101">
        <v>167373</v>
      </c>
    </row>
    <row r="102" spans="1:6" x14ac:dyDescent="0.3">
      <c r="A102" s="1">
        <v>45393</v>
      </c>
      <c r="B102" t="s">
        <v>9</v>
      </c>
      <c r="C102" t="s">
        <v>14</v>
      </c>
      <c r="D102" t="s">
        <v>8</v>
      </c>
      <c r="E102">
        <v>2</v>
      </c>
      <c r="F102">
        <v>31804</v>
      </c>
    </row>
    <row r="103" spans="1:6" x14ac:dyDescent="0.3">
      <c r="A103" s="1">
        <v>45394</v>
      </c>
      <c r="B103" t="s">
        <v>6</v>
      </c>
      <c r="C103" t="s">
        <v>16</v>
      </c>
      <c r="D103" t="s">
        <v>8</v>
      </c>
      <c r="E103">
        <v>3</v>
      </c>
      <c r="F103">
        <v>49275</v>
      </c>
    </row>
    <row r="104" spans="1:6" x14ac:dyDescent="0.3">
      <c r="A104" s="1">
        <v>45395</v>
      </c>
      <c r="B104" t="s">
        <v>9</v>
      </c>
      <c r="C104" t="s">
        <v>14</v>
      </c>
      <c r="D104" t="s">
        <v>13</v>
      </c>
      <c r="E104">
        <v>3</v>
      </c>
      <c r="F104">
        <v>43242</v>
      </c>
    </row>
    <row r="105" spans="1:6" x14ac:dyDescent="0.3">
      <c r="A105" s="1">
        <v>45396</v>
      </c>
      <c r="B105" t="s">
        <v>20</v>
      </c>
      <c r="C105" t="s">
        <v>14</v>
      </c>
      <c r="D105" t="s">
        <v>21</v>
      </c>
      <c r="E105">
        <v>3</v>
      </c>
      <c r="F105">
        <v>40089</v>
      </c>
    </row>
    <row r="106" spans="1:6" x14ac:dyDescent="0.3">
      <c r="A106" s="1">
        <v>45397</v>
      </c>
      <c r="B106" t="s">
        <v>9</v>
      </c>
      <c r="C106" t="s">
        <v>16</v>
      </c>
      <c r="D106" t="s">
        <v>21</v>
      </c>
      <c r="E106">
        <v>1</v>
      </c>
      <c r="F106">
        <v>8732</v>
      </c>
    </row>
    <row r="107" spans="1:6" x14ac:dyDescent="0.3">
      <c r="A107" s="1">
        <v>45398</v>
      </c>
      <c r="B107" t="s">
        <v>20</v>
      </c>
      <c r="C107" t="s">
        <v>16</v>
      </c>
      <c r="D107" t="s">
        <v>21</v>
      </c>
      <c r="E107">
        <v>9</v>
      </c>
      <c r="F107">
        <v>121725</v>
      </c>
    </row>
    <row r="108" spans="1:6" x14ac:dyDescent="0.3">
      <c r="A108" s="1">
        <v>45399</v>
      </c>
      <c r="B108" t="s">
        <v>15</v>
      </c>
      <c r="C108" t="s">
        <v>7</v>
      </c>
      <c r="D108" t="s">
        <v>10</v>
      </c>
      <c r="E108">
        <v>10</v>
      </c>
      <c r="F108">
        <v>162180</v>
      </c>
    </row>
    <row r="109" spans="1:6" x14ac:dyDescent="0.3">
      <c r="A109" s="1">
        <v>45400</v>
      </c>
      <c r="B109" t="s">
        <v>6</v>
      </c>
      <c r="C109" t="s">
        <v>16</v>
      </c>
      <c r="D109" t="s">
        <v>13</v>
      </c>
      <c r="E109">
        <v>10</v>
      </c>
      <c r="F109">
        <v>178000</v>
      </c>
    </row>
    <row r="110" spans="1:6" x14ac:dyDescent="0.3">
      <c r="A110" s="1">
        <v>45401</v>
      </c>
      <c r="B110" t="s">
        <v>9</v>
      </c>
      <c r="C110" t="s">
        <v>14</v>
      </c>
      <c r="D110" t="s">
        <v>18</v>
      </c>
      <c r="E110">
        <v>1</v>
      </c>
      <c r="F110">
        <v>6919</v>
      </c>
    </row>
    <row r="111" spans="1:6" x14ac:dyDescent="0.3">
      <c r="A111" s="1">
        <v>45402</v>
      </c>
      <c r="B111" t="s">
        <v>6</v>
      </c>
      <c r="C111" t="s">
        <v>12</v>
      </c>
      <c r="D111" t="s">
        <v>8</v>
      </c>
      <c r="E111">
        <v>1</v>
      </c>
      <c r="F111">
        <v>11964</v>
      </c>
    </row>
    <row r="112" spans="1:6" x14ac:dyDescent="0.3">
      <c r="A112" s="1">
        <v>45403</v>
      </c>
      <c r="B112" t="s">
        <v>6</v>
      </c>
      <c r="C112" t="s">
        <v>16</v>
      </c>
      <c r="D112" t="s">
        <v>18</v>
      </c>
      <c r="E112">
        <v>8</v>
      </c>
      <c r="F112">
        <v>106976</v>
      </c>
    </row>
    <row r="113" spans="1:6" x14ac:dyDescent="0.3">
      <c r="A113" s="1">
        <v>45404</v>
      </c>
      <c r="B113" t="s">
        <v>20</v>
      </c>
      <c r="C113" t="s">
        <v>16</v>
      </c>
      <c r="D113" t="s">
        <v>10</v>
      </c>
      <c r="E113">
        <v>6</v>
      </c>
      <c r="F113">
        <v>75942</v>
      </c>
    </row>
    <row r="114" spans="1:6" x14ac:dyDescent="0.3">
      <c r="A114" s="1">
        <v>45405</v>
      </c>
      <c r="B114" t="s">
        <v>20</v>
      </c>
      <c r="C114" t="s">
        <v>11</v>
      </c>
      <c r="D114" t="s">
        <v>18</v>
      </c>
      <c r="E114">
        <v>5</v>
      </c>
      <c r="F114">
        <v>71580</v>
      </c>
    </row>
    <row r="115" spans="1:6" x14ac:dyDescent="0.3">
      <c r="A115" s="1">
        <v>45406</v>
      </c>
      <c r="B115" t="s">
        <v>15</v>
      </c>
      <c r="C115" t="s">
        <v>16</v>
      </c>
      <c r="D115" t="s">
        <v>8</v>
      </c>
      <c r="E115">
        <v>9</v>
      </c>
      <c r="F115">
        <v>94365</v>
      </c>
    </row>
    <row r="116" spans="1:6" x14ac:dyDescent="0.3">
      <c r="A116" s="1">
        <v>45407</v>
      </c>
      <c r="B116" t="s">
        <v>9</v>
      </c>
      <c r="C116" t="s">
        <v>11</v>
      </c>
      <c r="D116" t="s">
        <v>13</v>
      </c>
      <c r="E116">
        <v>2</v>
      </c>
      <c r="F116">
        <v>27654</v>
      </c>
    </row>
    <row r="117" spans="1:6" x14ac:dyDescent="0.3">
      <c r="A117" s="1">
        <v>45408</v>
      </c>
      <c r="B117" t="s">
        <v>15</v>
      </c>
      <c r="C117" t="s">
        <v>7</v>
      </c>
      <c r="D117" t="s">
        <v>21</v>
      </c>
      <c r="E117">
        <v>8</v>
      </c>
      <c r="F117">
        <v>124528</v>
      </c>
    </row>
    <row r="118" spans="1:6" x14ac:dyDescent="0.3">
      <c r="A118" s="1">
        <v>45409</v>
      </c>
      <c r="B118" t="s">
        <v>9</v>
      </c>
      <c r="C118" t="s">
        <v>14</v>
      </c>
      <c r="D118" t="s">
        <v>21</v>
      </c>
      <c r="E118">
        <v>1</v>
      </c>
      <c r="F118">
        <v>5331</v>
      </c>
    </row>
    <row r="119" spans="1:6" x14ac:dyDescent="0.3">
      <c r="A119" s="1">
        <v>45410</v>
      </c>
      <c r="B119" t="s">
        <v>6</v>
      </c>
      <c r="C119" t="s">
        <v>11</v>
      </c>
      <c r="D119" t="s">
        <v>17</v>
      </c>
      <c r="E119">
        <v>4</v>
      </c>
      <c r="F119">
        <v>54392</v>
      </c>
    </row>
    <row r="120" spans="1:6" x14ac:dyDescent="0.3">
      <c r="A120" s="1">
        <v>45411</v>
      </c>
      <c r="B120" t="s">
        <v>20</v>
      </c>
      <c r="C120" t="s">
        <v>7</v>
      </c>
      <c r="D120" t="s">
        <v>21</v>
      </c>
      <c r="E120">
        <v>7</v>
      </c>
      <c r="F120">
        <v>58065</v>
      </c>
    </row>
    <row r="121" spans="1:6" x14ac:dyDescent="0.3">
      <c r="A121" s="1">
        <v>45412</v>
      </c>
      <c r="B121" t="s">
        <v>6</v>
      </c>
      <c r="C121" t="s">
        <v>11</v>
      </c>
      <c r="D121" t="s">
        <v>8</v>
      </c>
      <c r="E121">
        <v>5</v>
      </c>
      <c r="F121">
        <v>93475</v>
      </c>
    </row>
    <row r="122" spans="1:6" x14ac:dyDescent="0.3">
      <c r="A122" s="1">
        <v>45413</v>
      </c>
      <c r="B122" t="s">
        <v>9</v>
      </c>
      <c r="C122" t="s">
        <v>7</v>
      </c>
      <c r="D122" t="s">
        <v>10</v>
      </c>
      <c r="E122">
        <v>2</v>
      </c>
      <c r="F122">
        <v>29378</v>
      </c>
    </row>
    <row r="123" spans="1:6" x14ac:dyDescent="0.3">
      <c r="A123" s="1">
        <v>45414</v>
      </c>
      <c r="B123" t="s">
        <v>20</v>
      </c>
      <c r="C123" t="s">
        <v>14</v>
      </c>
      <c r="D123" t="s">
        <v>13</v>
      </c>
      <c r="E123">
        <v>2</v>
      </c>
      <c r="F123">
        <v>32836</v>
      </c>
    </row>
    <row r="124" spans="1:6" x14ac:dyDescent="0.3">
      <c r="A124" s="1">
        <v>45415</v>
      </c>
      <c r="B124" t="s">
        <v>6</v>
      </c>
      <c r="C124" t="s">
        <v>12</v>
      </c>
      <c r="D124" t="s">
        <v>21</v>
      </c>
      <c r="E124">
        <v>1</v>
      </c>
      <c r="F124">
        <v>7426</v>
      </c>
    </row>
    <row r="125" spans="1:6" x14ac:dyDescent="0.3">
      <c r="A125" s="1">
        <v>45416</v>
      </c>
      <c r="B125" t="s">
        <v>20</v>
      </c>
      <c r="C125" t="s">
        <v>16</v>
      </c>
      <c r="D125" t="s">
        <v>17</v>
      </c>
      <c r="E125">
        <v>9</v>
      </c>
      <c r="F125">
        <v>46026</v>
      </c>
    </row>
    <row r="126" spans="1:6" x14ac:dyDescent="0.3">
      <c r="A126" s="1">
        <v>45417</v>
      </c>
      <c r="B126" t="s">
        <v>6</v>
      </c>
      <c r="C126" t="s">
        <v>11</v>
      </c>
      <c r="D126" t="s">
        <v>13</v>
      </c>
      <c r="E126">
        <v>8</v>
      </c>
      <c r="F126">
        <v>103032</v>
      </c>
    </row>
    <row r="127" spans="1:6" x14ac:dyDescent="0.3">
      <c r="A127" s="1">
        <v>45418</v>
      </c>
      <c r="B127" t="s">
        <v>6</v>
      </c>
      <c r="C127" t="s">
        <v>7</v>
      </c>
      <c r="D127" t="s">
        <v>18</v>
      </c>
      <c r="E127">
        <v>9</v>
      </c>
      <c r="F127">
        <v>125721</v>
      </c>
    </row>
    <row r="128" spans="1:6" x14ac:dyDescent="0.3">
      <c r="A128" s="1">
        <v>45419</v>
      </c>
      <c r="B128" t="s">
        <v>20</v>
      </c>
      <c r="C128" t="s">
        <v>12</v>
      </c>
      <c r="D128" t="s">
        <v>10</v>
      </c>
      <c r="E128">
        <v>10</v>
      </c>
      <c r="F128">
        <v>141290</v>
      </c>
    </row>
    <row r="129" spans="1:6" x14ac:dyDescent="0.3">
      <c r="A129" s="1">
        <v>45420</v>
      </c>
      <c r="B129" t="s">
        <v>6</v>
      </c>
      <c r="C129" t="s">
        <v>12</v>
      </c>
      <c r="D129" t="s">
        <v>21</v>
      </c>
      <c r="E129">
        <v>2</v>
      </c>
      <c r="F129">
        <v>39936</v>
      </c>
    </row>
    <row r="130" spans="1:6" x14ac:dyDescent="0.3">
      <c r="A130" s="1">
        <v>45421</v>
      </c>
      <c r="B130" t="s">
        <v>15</v>
      </c>
      <c r="C130" t="s">
        <v>11</v>
      </c>
      <c r="D130" t="s">
        <v>19</v>
      </c>
      <c r="E130">
        <v>9</v>
      </c>
      <c r="F130">
        <v>80037</v>
      </c>
    </row>
    <row r="131" spans="1:6" x14ac:dyDescent="0.3">
      <c r="A131" s="1">
        <v>45422</v>
      </c>
      <c r="B131" t="s">
        <v>6</v>
      </c>
      <c r="C131" t="s">
        <v>7</v>
      </c>
      <c r="D131" t="s">
        <v>18</v>
      </c>
      <c r="E131">
        <v>3</v>
      </c>
      <c r="F131">
        <v>20124</v>
      </c>
    </row>
    <row r="132" spans="1:6" x14ac:dyDescent="0.3">
      <c r="A132" s="1">
        <v>45423</v>
      </c>
      <c r="B132" t="s">
        <v>15</v>
      </c>
      <c r="C132" t="s">
        <v>16</v>
      </c>
      <c r="D132" t="s">
        <v>18</v>
      </c>
      <c r="E132">
        <v>8</v>
      </c>
      <c r="F132">
        <v>67176</v>
      </c>
    </row>
    <row r="133" spans="1:6" x14ac:dyDescent="0.3">
      <c r="A133" s="1">
        <v>45424</v>
      </c>
      <c r="B133" t="s">
        <v>9</v>
      </c>
      <c r="C133" t="s">
        <v>7</v>
      </c>
      <c r="D133" t="s">
        <v>17</v>
      </c>
      <c r="E133">
        <v>4</v>
      </c>
      <c r="F133">
        <v>62172</v>
      </c>
    </row>
    <row r="134" spans="1:6" x14ac:dyDescent="0.3">
      <c r="A134" s="1">
        <v>45425</v>
      </c>
      <c r="B134" t="s">
        <v>20</v>
      </c>
      <c r="C134" t="s">
        <v>16</v>
      </c>
      <c r="D134" t="s">
        <v>21</v>
      </c>
      <c r="E134">
        <v>7</v>
      </c>
      <c r="F134">
        <v>100373</v>
      </c>
    </row>
    <row r="135" spans="1:6" x14ac:dyDescent="0.3">
      <c r="A135" s="1">
        <v>45426</v>
      </c>
      <c r="B135" t="s">
        <v>15</v>
      </c>
      <c r="C135" t="s">
        <v>12</v>
      </c>
      <c r="D135" t="s">
        <v>13</v>
      </c>
      <c r="E135">
        <v>5</v>
      </c>
      <c r="F135">
        <v>84390</v>
      </c>
    </row>
    <row r="136" spans="1:6" x14ac:dyDescent="0.3">
      <c r="A136" s="1">
        <v>45427</v>
      </c>
      <c r="B136" t="s">
        <v>20</v>
      </c>
      <c r="C136" t="s">
        <v>16</v>
      </c>
      <c r="D136" t="s">
        <v>18</v>
      </c>
      <c r="E136">
        <v>7</v>
      </c>
      <c r="F136">
        <v>63455</v>
      </c>
    </row>
    <row r="137" spans="1:6" x14ac:dyDescent="0.3">
      <c r="A137" s="1">
        <v>45428</v>
      </c>
      <c r="B137" t="s">
        <v>15</v>
      </c>
      <c r="C137" t="s">
        <v>16</v>
      </c>
      <c r="D137" t="s">
        <v>8</v>
      </c>
      <c r="E137">
        <v>2</v>
      </c>
      <c r="F137">
        <v>14340</v>
      </c>
    </row>
    <row r="138" spans="1:6" x14ac:dyDescent="0.3">
      <c r="A138" s="1">
        <v>45429</v>
      </c>
      <c r="B138" t="s">
        <v>20</v>
      </c>
      <c r="C138" t="s">
        <v>14</v>
      </c>
      <c r="D138" t="s">
        <v>19</v>
      </c>
      <c r="E138">
        <v>2</v>
      </c>
      <c r="F138">
        <v>34114</v>
      </c>
    </row>
    <row r="139" spans="1:6" x14ac:dyDescent="0.3">
      <c r="A139" s="1">
        <v>45430</v>
      </c>
      <c r="B139" t="s">
        <v>6</v>
      </c>
      <c r="C139" t="s">
        <v>16</v>
      </c>
      <c r="D139" t="s">
        <v>8</v>
      </c>
      <c r="E139">
        <v>10</v>
      </c>
      <c r="F139">
        <v>113970</v>
      </c>
    </row>
    <row r="140" spans="1:6" x14ac:dyDescent="0.3">
      <c r="A140" s="1">
        <v>45431</v>
      </c>
      <c r="B140" t="s">
        <v>20</v>
      </c>
      <c r="C140" t="s">
        <v>12</v>
      </c>
      <c r="D140" t="s">
        <v>21</v>
      </c>
      <c r="E140">
        <v>6</v>
      </c>
      <c r="F140">
        <v>113982</v>
      </c>
    </row>
    <row r="141" spans="1:6" x14ac:dyDescent="0.3">
      <c r="A141" s="1">
        <v>45432</v>
      </c>
      <c r="B141" t="s">
        <v>6</v>
      </c>
      <c r="C141" t="s">
        <v>11</v>
      </c>
      <c r="D141" t="s">
        <v>8</v>
      </c>
      <c r="E141">
        <v>2</v>
      </c>
      <c r="F141">
        <v>24088</v>
      </c>
    </row>
    <row r="142" spans="1:6" x14ac:dyDescent="0.3">
      <c r="A142" s="1">
        <v>45433</v>
      </c>
      <c r="B142" t="s">
        <v>20</v>
      </c>
      <c r="C142" t="s">
        <v>12</v>
      </c>
      <c r="D142" t="s">
        <v>13</v>
      </c>
      <c r="E142">
        <v>4</v>
      </c>
      <c r="F142">
        <v>58040</v>
      </c>
    </row>
    <row r="143" spans="1:6" x14ac:dyDescent="0.3">
      <c r="A143" s="1">
        <v>45434</v>
      </c>
      <c r="B143" t="s">
        <v>6</v>
      </c>
      <c r="C143" t="s">
        <v>14</v>
      </c>
      <c r="D143" t="s">
        <v>18</v>
      </c>
      <c r="E143">
        <v>1</v>
      </c>
      <c r="F143">
        <v>17287</v>
      </c>
    </row>
    <row r="144" spans="1:6" x14ac:dyDescent="0.3">
      <c r="A144" s="1">
        <v>45435</v>
      </c>
      <c r="B144" t="s">
        <v>20</v>
      </c>
      <c r="C144" t="s">
        <v>16</v>
      </c>
      <c r="D144" t="s">
        <v>10</v>
      </c>
      <c r="E144">
        <v>5</v>
      </c>
      <c r="F144">
        <v>62395</v>
      </c>
    </row>
    <row r="145" spans="1:6" x14ac:dyDescent="0.3">
      <c r="A145" s="1">
        <v>45436</v>
      </c>
      <c r="B145" t="s">
        <v>9</v>
      </c>
      <c r="C145" t="s">
        <v>11</v>
      </c>
      <c r="D145" t="s">
        <v>21</v>
      </c>
      <c r="E145">
        <v>6</v>
      </c>
      <c r="F145">
        <v>103998</v>
      </c>
    </row>
    <row r="146" spans="1:6" x14ac:dyDescent="0.3">
      <c r="A146" s="1">
        <v>45437</v>
      </c>
      <c r="B146" t="s">
        <v>6</v>
      </c>
      <c r="C146" t="s">
        <v>12</v>
      </c>
      <c r="D146" t="s">
        <v>10</v>
      </c>
      <c r="E146">
        <v>1</v>
      </c>
      <c r="F146">
        <v>7899</v>
      </c>
    </row>
    <row r="147" spans="1:6" x14ac:dyDescent="0.3">
      <c r="A147" s="1">
        <v>45438</v>
      </c>
      <c r="B147" t="s">
        <v>9</v>
      </c>
      <c r="C147" t="s">
        <v>7</v>
      </c>
      <c r="D147" t="s">
        <v>17</v>
      </c>
      <c r="E147">
        <v>10</v>
      </c>
      <c r="F147">
        <v>159900</v>
      </c>
    </row>
    <row r="148" spans="1:6" x14ac:dyDescent="0.3">
      <c r="A148" s="1">
        <v>45439</v>
      </c>
      <c r="B148" t="s">
        <v>20</v>
      </c>
      <c r="C148" t="s">
        <v>16</v>
      </c>
      <c r="D148" t="s">
        <v>8</v>
      </c>
      <c r="E148">
        <v>2</v>
      </c>
      <c r="F148">
        <v>24308</v>
      </c>
    </row>
    <row r="149" spans="1:6" x14ac:dyDescent="0.3">
      <c r="A149" s="1">
        <v>45440</v>
      </c>
      <c r="B149" t="s">
        <v>9</v>
      </c>
      <c r="C149" t="s">
        <v>16</v>
      </c>
      <c r="D149" t="s">
        <v>10</v>
      </c>
      <c r="E149">
        <v>1</v>
      </c>
      <c r="F149">
        <v>17230</v>
      </c>
    </row>
    <row r="150" spans="1:6" x14ac:dyDescent="0.3">
      <c r="A150" s="1">
        <v>45441</v>
      </c>
      <c r="B150" t="s">
        <v>9</v>
      </c>
      <c r="C150" t="s">
        <v>12</v>
      </c>
      <c r="D150" t="s">
        <v>18</v>
      </c>
      <c r="E150">
        <v>9</v>
      </c>
      <c r="F150">
        <v>67068</v>
      </c>
    </row>
    <row r="151" spans="1:6" x14ac:dyDescent="0.3">
      <c r="A151" s="1">
        <v>45442</v>
      </c>
      <c r="B151" t="s">
        <v>6</v>
      </c>
      <c r="C151" t="s">
        <v>12</v>
      </c>
      <c r="D151" t="s">
        <v>17</v>
      </c>
      <c r="E151">
        <v>7</v>
      </c>
      <c r="F151">
        <v>127701</v>
      </c>
    </row>
    <row r="152" spans="1:6" x14ac:dyDescent="0.3">
      <c r="A152" s="1">
        <v>45443</v>
      </c>
      <c r="B152" t="s">
        <v>6</v>
      </c>
      <c r="C152" t="s">
        <v>12</v>
      </c>
      <c r="D152" t="s">
        <v>17</v>
      </c>
      <c r="E152">
        <v>5</v>
      </c>
      <c r="F152">
        <v>29830</v>
      </c>
    </row>
    <row r="153" spans="1:6" x14ac:dyDescent="0.3">
      <c r="A153" s="1">
        <v>45444</v>
      </c>
      <c r="B153" t="s">
        <v>6</v>
      </c>
      <c r="C153" t="s">
        <v>16</v>
      </c>
      <c r="D153" t="s">
        <v>21</v>
      </c>
      <c r="E153">
        <v>10</v>
      </c>
      <c r="F153">
        <v>94920</v>
      </c>
    </row>
    <row r="154" spans="1:6" x14ac:dyDescent="0.3">
      <c r="A154" s="1">
        <v>45445</v>
      </c>
      <c r="B154" t="s">
        <v>6</v>
      </c>
      <c r="C154" t="s">
        <v>16</v>
      </c>
      <c r="D154" t="s">
        <v>19</v>
      </c>
      <c r="E154">
        <v>8</v>
      </c>
      <c r="F154">
        <v>48440</v>
      </c>
    </row>
    <row r="155" spans="1:6" x14ac:dyDescent="0.3">
      <c r="A155" s="1">
        <v>45446</v>
      </c>
      <c r="B155" t="s">
        <v>6</v>
      </c>
      <c r="C155" t="s">
        <v>12</v>
      </c>
      <c r="D155" t="s">
        <v>13</v>
      </c>
      <c r="E155">
        <v>9</v>
      </c>
      <c r="F155">
        <v>57051</v>
      </c>
    </row>
    <row r="156" spans="1:6" x14ac:dyDescent="0.3">
      <c r="A156" s="1">
        <v>45447</v>
      </c>
      <c r="B156" t="s">
        <v>9</v>
      </c>
      <c r="C156" t="s">
        <v>7</v>
      </c>
      <c r="D156" t="s">
        <v>19</v>
      </c>
      <c r="E156">
        <v>7</v>
      </c>
      <c r="F156">
        <v>82607</v>
      </c>
    </row>
    <row r="157" spans="1:6" x14ac:dyDescent="0.3">
      <c r="A157" s="1">
        <v>45448</v>
      </c>
      <c r="B157" t="s">
        <v>9</v>
      </c>
      <c r="C157" t="s">
        <v>16</v>
      </c>
      <c r="D157" t="s">
        <v>21</v>
      </c>
      <c r="E157">
        <v>6</v>
      </c>
      <c r="F157">
        <v>54894</v>
      </c>
    </row>
    <row r="158" spans="1:6" x14ac:dyDescent="0.3">
      <c r="A158" s="1">
        <v>45449</v>
      </c>
      <c r="B158" t="s">
        <v>6</v>
      </c>
      <c r="C158" t="s">
        <v>12</v>
      </c>
      <c r="D158" t="s">
        <v>19</v>
      </c>
      <c r="E158">
        <v>5</v>
      </c>
      <c r="F158">
        <v>52230</v>
      </c>
    </row>
    <row r="159" spans="1:6" x14ac:dyDescent="0.3">
      <c r="A159" s="1">
        <v>45450</v>
      </c>
      <c r="B159" t="s">
        <v>6</v>
      </c>
      <c r="C159" t="s">
        <v>16</v>
      </c>
      <c r="D159" t="s">
        <v>19</v>
      </c>
      <c r="E159">
        <v>1</v>
      </c>
      <c r="F159">
        <v>13171</v>
      </c>
    </row>
    <row r="160" spans="1:6" x14ac:dyDescent="0.3">
      <c r="A160" s="1">
        <v>45451</v>
      </c>
      <c r="B160" t="s">
        <v>15</v>
      </c>
      <c r="C160" t="s">
        <v>14</v>
      </c>
      <c r="D160" t="s">
        <v>17</v>
      </c>
      <c r="E160">
        <v>8</v>
      </c>
      <c r="F160">
        <v>70456</v>
      </c>
    </row>
    <row r="161" spans="1:6" x14ac:dyDescent="0.3">
      <c r="A161" s="1">
        <v>45452</v>
      </c>
      <c r="B161" t="s">
        <v>9</v>
      </c>
      <c r="C161" t="s">
        <v>14</v>
      </c>
      <c r="D161" t="s">
        <v>21</v>
      </c>
      <c r="E161">
        <v>3</v>
      </c>
      <c r="F161">
        <v>28143</v>
      </c>
    </row>
    <row r="162" spans="1:6" x14ac:dyDescent="0.3">
      <c r="A162" s="1">
        <v>45453</v>
      </c>
      <c r="B162" t="s">
        <v>9</v>
      </c>
      <c r="C162" t="s">
        <v>12</v>
      </c>
      <c r="D162" t="s">
        <v>8</v>
      </c>
      <c r="E162">
        <v>3</v>
      </c>
      <c r="F162">
        <v>47466</v>
      </c>
    </row>
    <row r="163" spans="1:6" x14ac:dyDescent="0.3">
      <c r="A163" s="1">
        <v>45454</v>
      </c>
      <c r="B163" t="s">
        <v>9</v>
      </c>
      <c r="C163" t="s">
        <v>14</v>
      </c>
      <c r="D163" t="s">
        <v>8</v>
      </c>
      <c r="E163">
        <v>10</v>
      </c>
      <c r="F163">
        <v>119520</v>
      </c>
    </row>
    <row r="164" spans="1:6" x14ac:dyDescent="0.3">
      <c r="A164" s="1">
        <v>45455</v>
      </c>
      <c r="B164" t="s">
        <v>9</v>
      </c>
      <c r="C164" t="s">
        <v>12</v>
      </c>
      <c r="D164" t="s">
        <v>21</v>
      </c>
      <c r="E164">
        <v>2</v>
      </c>
      <c r="F164">
        <v>10430</v>
      </c>
    </row>
    <row r="165" spans="1:6" x14ac:dyDescent="0.3">
      <c r="A165" s="1">
        <v>45456</v>
      </c>
      <c r="B165" t="s">
        <v>15</v>
      </c>
      <c r="C165" t="s">
        <v>7</v>
      </c>
      <c r="D165" t="s">
        <v>10</v>
      </c>
      <c r="E165">
        <v>9</v>
      </c>
      <c r="F165">
        <v>147168</v>
      </c>
    </row>
    <row r="166" spans="1:6" x14ac:dyDescent="0.3">
      <c r="A166" s="1">
        <v>45457</v>
      </c>
      <c r="B166" t="s">
        <v>6</v>
      </c>
      <c r="C166" t="s">
        <v>11</v>
      </c>
      <c r="D166" t="s">
        <v>8</v>
      </c>
      <c r="E166">
        <v>9</v>
      </c>
      <c r="F166">
        <v>74259</v>
      </c>
    </row>
    <row r="167" spans="1:6" x14ac:dyDescent="0.3">
      <c r="A167" s="1">
        <v>45458</v>
      </c>
      <c r="B167" t="s">
        <v>9</v>
      </c>
      <c r="C167" t="s">
        <v>11</v>
      </c>
      <c r="D167" t="s">
        <v>13</v>
      </c>
      <c r="E167">
        <v>8</v>
      </c>
      <c r="F167">
        <v>120856</v>
      </c>
    </row>
    <row r="168" spans="1:6" x14ac:dyDescent="0.3">
      <c r="A168" s="1">
        <v>45459</v>
      </c>
      <c r="B168" t="s">
        <v>20</v>
      </c>
      <c r="C168" t="s">
        <v>14</v>
      </c>
      <c r="D168" t="s">
        <v>21</v>
      </c>
      <c r="E168">
        <v>9</v>
      </c>
      <c r="F168">
        <v>162864</v>
      </c>
    </row>
    <row r="169" spans="1:6" x14ac:dyDescent="0.3">
      <c r="A169" s="1">
        <v>45460</v>
      </c>
      <c r="B169" t="s">
        <v>9</v>
      </c>
      <c r="C169" t="s">
        <v>7</v>
      </c>
      <c r="D169" t="s">
        <v>18</v>
      </c>
      <c r="E169">
        <v>2</v>
      </c>
      <c r="F169">
        <v>12828</v>
      </c>
    </row>
    <row r="170" spans="1:6" x14ac:dyDescent="0.3">
      <c r="A170" s="1">
        <v>45461</v>
      </c>
      <c r="B170" t="s">
        <v>15</v>
      </c>
      <c r="C170" t="s">
        <v>11</v>
      </c>
      <c r="D170" t="s">
        <v>17</v>
      </c>
      <c r="E170">
        <v>7</v>
      </c>
      <c r="F170">
        <v>117677</v>
      </c>
    </row>
    <row r="171" spans="1:6" x14ac:dyDescent="0.3">
      <c r="A171" s="1">
        <v>45462</v>
      </c>
      <c r="B171" t="s">
        <v>6</v>
      </c>
      <c r="C171" t="s">
        <v>12</v>
      </c>
      <c r="D171" t="s">
        <v>17</v>
      </c>
      <c r="E171">
        <v>9</v>
      </c>
      <c r="F171">
        <v>132030</v>
      </c>
    </row>
    <row r="172" spans="1:6" x14ac:dyDescent="0.3">
      <c r="A172" s="1">
        <v>45463</v>
      </c>
      <c r="B172" t="s">
        <v>15</v>
      </c>
      <c r="C172" t="s">
        <v>7</v>
      </c>
      <c r="D172" t="s">
        <v>21</v>
      </c>
      <c r="E172">
        <v>7</v>
      </c>
      <c r="F172">
        <v>99603</v>
      </c>
    </row>
    <row r="173" spans="1:6" x14ac:dyDescent="0.3">
      <c r="A173" s="1">
        <v>45464</v>
      </c>
      <c r="B173" t="s">
        <v>20</v>
      </c>
      <c r="C173" t="s">
        <v>16</v>
      </c>
      <c r="D173" t="s">
        <v>13</v>
      </c>
      <c r="E173">
        <v>6</v>
      </c>
      <c r="F173">
        <v>54330</v>
      </c>
    </row>
    <row r="174" spans="1:6" x14ac:dyDescent="0.3">
      <c r="A174" s="1">
        <v>45465</v>
      </c>
      <c r="B174" t="s">
        <v>15</v>
      </c>
      <c r="C174" t="s">
        <v>16</v>
      </c>
      <c r="D174" t="s">
        <v>18</v>
      </c>
      <c r="E174">
        <v>9</v>
      </c>
      <c r="F174">
        <v>80100</v>
      </c>
    </row>
    <row r="175" spans="1:6" x14ac:dyDescent="0.3">
      <c r="A175" s="1">
        <v>45466</v>
      </c>
      <c r="B175" t="s">
        <v>6</v>
      </c>
      <c r="C175" t="s">
        <v>14</v>
      </c>
      <c r="D175" t="s">
        <v>19</v>
      </c>
      <c r="E175">
        <v>7</v>
      </c>
      <c r="F175">
        <v>51842</v>
      </c>
    </row>
    <row r="176" spans="1:6" x14ac:dyDescent="0.3">
      <c r="A176" s="1">
        <v>45467</v>
      </c>
      <c r="B176" t="s">
        <v>9</v>
      </c>
      <c r="C176" t="s">
        <v>14</v>
      </c>
      <c r="D176" t="s">
        <v>21</v>
      </c>
      <c r="E176">
        <v>2</v>
      </c>
      <c r="F176">
        <v>23292</v>
      </c>
    </row>
    <row r="177" spans="1:6" x14ac:dyDescent="0.3">
      <c r="A177" s="1">
        <v>45468</v>
      </c>
      <c r="B177" t="s">
        <v>20</v>
      </c>
      <c r="C177" t="s">
        <v>11</v>
      </c>
      <c r="D177" t="s">
        <v>8</v>
      </c>
      <c r="E177">
        <v>2</v>
      </c>
      <c r="F177">
        <v>34856</v>
      </c>
    </row>
    <row r="178" spans="1:6" x14ac:dyDescent="0.3">
      <c r="A178" s="1">
        <v>45469</v>
      </c>
      <c r="B178" t="s">
        <v>6</v>
      </c>
      <c r="C178" t="s">
        <v>7</v>
      </c>
      <c r="D178" t="s">
        <v>21</v>
      </c>
      <c r="E178">
        <v>5</v>
      </c>
      <c r="F178">
        <v>78995</v>
      </c>
    </row>
    <row r="179" spans="1:6" x14ac:dyDescent="0.3">
      <c r="A179" s="1">
        <v>45470</v>
      </c>
      <c r="B179" t="s">
        <v>20</v>
      </c>
      <c r="C179" t="s">
        <v>14</v>
      </c>
      <c r="D179" t="s">
        <v>17</v>
      </c>
      <c r="E179">
        <v>7</v>
      </c>
      <c r="F179">
        <v>89649</v>
      </c>
    </row>
    <row r="180" spans="1:6" x14ac:dyDescent="0.3">
      <c r="A180" s="1">
        <v>45471</v>
      </c>
      <c r="B180" t="s">
        <v>15</v>
      </c>
      <c r="C180" t="s">
        <v>12</v>
      </c>
      <c r="D180" t="s">
        <v>19</v>
      </c>
      <c r="E180">
        <v>2</v>
      </c>
      <c r="F180">
        <v>12652</v>
      </c>
    </row>
    <row r="181" spans="1:6" x14ac:dyDescent="0.3">
      <c r="A181" s="1">
        <v>45472</v>
      </c>
      <c r="B181" t="s">
        <v>15</v>
      </c>
      <c r="C181" t="s">
        <v>11</v>
      </c>
      <c r="D181" t="s">
        <v>13</v>
      </c>
      <c r="E181">
        <v>6</v>
      </c>
      <c r="F181">
        <v>76014</v>
      </c>
    </row>
    <row r="182" spans="1:6" x14ac:dyDescent="0.3">
      <c r="A182" s="1">
        <v>45473</v>
      </c>
      <c r="B182" t="s">
        <v>15</v>
      </c>
      <c r="C182" t="s">
        <v>14</v>
      </c>
      <c r="D182" t="s">
        <v>8</v>
      </c>
      <c r="E182">
        <v>3</v>
      </c>
      <c r="F182">
        <v>59985</v>
      </c>
    </row>
    <row r="183" spans="1:6" x14ac:dyDescent="0.3">
      <c r="A183" s="1">
        <v>45474</v>
      </c>
      <c r="B183" t="s">
        <v>9</v>
      </c>
      <c r="C183" t="s">
        <v>11</v>
      </c>
      <c r="D183" t="s">
        <v>8</v>
      </c>
      <c r="E183">
        <v>1</v>
      </c>
      <c r="F183">
        <v>16220</v>
      </c>
    </row>
    <row r="184" spans="1:6" x14ac:dyDescent="0.3">
      <c r="A184" s="1">
        <v>45475</v>
      </c>
      <c r="B184" t="s">
        <v>9</v>
      </c>
      <c r="C184" t="s">
        <v>14</v>
      </c>
      <c r="D184" t="s">
        <v>17</v>
      </c>
      <c r="E184">
        <v>6</v>
      </c>
      <c r="F184">
        <v>84450</v>
      </c>
    </row>
    <row r="185" spans="1:6" x14ac:dyDescent="0.3">
      <c r="A185" s="1">
        <v>45476</v>
      </c>
      <c r="B185" t="s">
        <v>6</v>
      </c>
      <c r="C185" t="s">
        <v>11</v>
      </c>
      <c r="D185" t="s">
        <v>18</v>
      </c>
      <c r="E185">
        <v>7</v>
      </c>
      <c r="F185">
        <v>43092</v>
      </c>
    </row>
    <row r="186" spans="1:6" x14ac:dyDescent="0.3">
      <c r="A186" s="1">
        <v>45477</v>
      </c>
      <c r="B186" t="s">
        <v>20</v>
      </c>
      <c r="C186" t="s">
        <v>16</v>
      </c>
      <c r="D186" t="s">
        <v>10</v>
      </c>
      <c r="E186">
        <v>5</v>
      </c>
      <c r="F186">
        <v>55995</v>
      </c>
    </row>
    <row r="187" spans="1:6" x14ac:dyDescent="0.3">
      <c r="A187" s="1">
        <v>45478</v>
      </c>
      <c r="B187" t="s">
        <v>6</v>
      </c>
      <c r="C187" t="s">
        <v>16</v>
      </c>
      <c r="D187" t="s">
        <v>21</v>
      </c>
      <c r="E187">
        <v>4</v>
      </c>
      <c r="F187">
        <v>78248</v>
      </c>
    </row>
    <row r="188" spans="1:6" x14ac:dyDescent="0.3">
      <c r="A188" s="1">
        <v>45479</v>
      </c>
      <c r="B188" t="s">
        <v>6</v>
      </c>
      <c r="C188" t="s">
        <v>14</v>
      </c>
      <c r="D188" t="s">
        <v>10</v>
      </c>
      <c r="E188">
        <v>9</v>
      </c>
      <c r="F188">
        <v>163800</v>
      </c>
    </row>
    <row r="189" spans="1:6" x14ac:dyDescent="0.3">
      <c r="A189" s="1">
        <v>45480</v>
      </c>
      <c r="B189" t="s">
        <v>9</v>
      </c>
      <c r="C189" t="s">
        <v>7</v>
      </c>
      <c r="D189" t="s">
        <v>19</v>
      </c>
      <c r="E189">
        <v>2</v>
      </c>
      <c r="F189">
        <v>32700</v>
      </c>
    </row>
    <row r="190" spans="1:6" x14ac:dyDescent="0.3">
      <c r="A190" s="1">
        <v>45481</v>
      </c>
      <c r="B190" t="s">
        <v>6</v>
      </c>
      <c r="C190" t="s">
        <v>11</v>
      </c>
      <c r="D190" t="s">
        <v>21</v>
      </c>
      <c r="E190">
        <v>2</v>
      </c>
      <c r="F190">
        <v>23138</v>
      </c>
    </row>
    <row r="191" spans="1:6" x14ac:dyDescent="0.3">
      <c r="A191" s="1">
        <v>45482</v>
      </c>
      <c r="B191" t="s">
        <v>20</v>
      </c>
      <c r="C191" t="s">
        <v>16</v>
      </c>
      <c r="D191" t="s">
        <v>19</v>
      </c>
      <c r="E191">
        <v>4</v>
      </c>
      <c r="F191">
        <v>39472</v>
      </c>
    </row>
    <row r="192" spans="1:6" x14ac:dyDescent="0.3">
      <c r="A192" s="1">
        <v>45483</v>
      </c>
      <c r="B192" t="s">
        <v>9</v>
      </c>
      <c r="C192" t="s">
        <v>11</v>
      </c>
      <c r="D192" t="s">
        <v>13</v>
      </c>
      <c r="E192">
        <v>8</v>
      </c>
      <c r="F192">
        <v>102184</v>
      </c>
    </row>
    <row r="193" spans="1:6" x14ac:dyDescent="0.3">
      <c r="A193" s="1">
        <v>45484</v>
      </c>
      <c r="B193" t="s">
        <v>6</v>
      </c>
      <c r="C193" t="s">
        <v>16</v>
      </c>
      <c r="D193" t="s">
        <v>17</v>
      </c>
      <c r="E193">
        <v>3</v>
      </c>
      <c r="F193">
        <v>22218</v>
      </c>
    </row>
    <row r="194" spans="1:6" x14ac:dyDescent="0.3">
      <c r="A194" s="1">
        <v>45485</v>
      </c>
      <c r="B194" t="s">
        <v>6</v>
      </c>
      <c r="C194" t="s">
        <v>11</v>
      </c>
      <c r="D194" t="s">
        <v>10</v>
      </c>
      <c r="E194">
        <v>2</v>
      </c>
      <c r="F194">
        <v>28074</v>
      </c>
    </row>
    <row r="195" spans="1:6" x14ac:dyDescent="0.3">
      <c r="A195" s="1">
        <v>45486</v>
      </c>
      <c r="B195" t="s">
        <v>6</v>
      </c>
      <c r="C195" t="s">
        <v>16</v>
      </c>
      <c r="D195" t="s">
        <v>18</v>
      </c>
      <c r="E195">
        <v>4</v>
      </c>
      <c r="F195">
        <v>30172</v>
      </c>
    </row>
    <row r="196" spans="1:6" x14ac:dyDescent="0.3">
      <c r="A196" s="1">
        <v>45487</v>
      </c>
      <c r="B196" t="s">
        <v>15</v>
      </c>
      <c r="C196" t="s">
        <v>11</v>
      </c>
      <c r="D196" t="s">
        <v>13</v>
      </c>
      <c r="E196">
        <v>9</v>
      </c>
      <c r="F196">
        <v>138141</v>
      </c>
    </row>
    <row r="197" spans="1:6" x14ac:dyDescent="0.3">
      <c r="A197" s="1">
        <v>45488</v>
      </c>
      <c r="B197" t="s">
        <v>15</v>
      </c>
      <c r="C197" t="s">
        <v>16</v>
      </c>
      <c r="D197" t="s">
        <v>8</v>
      </c>
      <c r="E197">
        <v>8</v>
      </c>
      <c r="F197">
        <v>59208</v>
      </c>
    </row>
    <row r="198" spans="1:6" x14ac:dyDescent="0.3">
      <c r="A198" s="1">
        <v>45489</v>
      </c>
      <c r="B198" t="s">
        <v>6</v>
      </c>
      <c r="C198" t="s">
        <v>14</v>
      </c>
      <c r="D198" t="s">
        <v>13</v>
      </c>
      <c r="E198">
        <v>8</v>
      </c>
      <c r="F198">
        <v>156960</v>
      </c>
    </row>
    <row r="199" spans="1:6" x14ac:dyDescent="0.3">
      <c r="A199" s="1">
        <v>45490</v>
      </c>
      <c r="B199" t="s">
        <v>6</v>
      </c>
      <c r="C199" t="s">
        <v>7</v>
      </c>
      <c r="D199" t="s">
        <v>19</v>
      </c>
      <c r="E199">
        <v>1</v>
      </c>
      <c r="F199">
        <v>10838</v>
      </c>
    </row>
    <row r="200" spans="1:6" x14ac:dyDescent="0.3">
      <c r="A200" s="1">
        <v>45491</v>
      </c>
      <c r="B200" t="s">
        <v>6</v>
      </c>
      <c r="C200" t="s">
        <v>16</v>
      </c>
      <c r="D200" t="s">
        <v>19</v>
      </c>
      <c r="E200">
        <v>8</v>
      </c>
      <c r="F200">
        <v>74184</v>
      </c>
    </row>
    <row r="201" spans="1:6" x14ac:dyDescent="0.3">
      <c r="A201" s="1">
        <v>45492</v>
      </c>
      <c r="B201" t="s">
        <v>6</v>
      </c>
      <c r="C201" t="s">
        <v>11</v>
      </c>
      <c r="D201" t="s">
        <v>19</v>
      </c>
      <c r="E201">
        <v>7</v>
      </c>
      <c r="F201">
        <v>119735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pivot 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2026-01-23T08:23:03Z</dcterms:created>
  <dcterms:modified xsi:type="dcterms:W3CDTF">2026-02-19T14:13:14Z</dcterms:modified>
</cp:coreProperties>
</file>